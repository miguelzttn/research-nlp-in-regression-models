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nograma de Pesquisa em Revis" sheetId="1" r:id="rId5"/>
    <sheet state="visible" name="1_Sobreposição" sheetId="2" r:id="rId6"/>
    <sheet state="visible" name="2_Prisma" sheetId="3" r:id="rId7"/>
    <sheet state="visible" name="3_Dados" sheetId="4" r:id="rId8"/>
    <sheet state="visible" name="4_WordCloud" sheetId="5" r:id="rId9"/>
  </sheets>
  <definedNames>
    <definedName hidden="1" localSheetId="1" name="_xlnm._FilterDatabase">'1_Sobreposição'!$A$1:$B$201</definedName>
  </definedNames>
  <calcPr/>
</workbook>
</file>

<file path=xl/sharedStrings.xml><?xml version="1.0" encoding="utf-8"?>
<sst xmlns="http://schemas.openxmlformats.org/spreadsheetml/2006/main" count="2039" uniqueCount="870">
  <si>
    <t>Fase</t>
  </si>
  <si>
    <t>Atividade / Tarefa</t>
  </si>
  <si>
    <t>Detalhes &amp; Entregáveis</t>
  </si>
  <si>
    <t>Início</t>
  </si>
  <si>
    <t>Prazo Estimado</t>
  </si>
  <si>
    <t>Data Finalização</t>
  </si>
  <si>
    <t>Comentário</t>
  </si>
  <si>
    <t>0. Prep.</t>
  </si>
  <si>
    <t>Padronização de Dados</t>
  </si>
  <si>
    <t>Limpeza da tabela Excel: Unificar nomes de países, técnicas (ex: "Bi-LSTM" = "LSTM") e métricas.</t>
  </si>
  <si>
    <t>1. Metod.</t>
  </si>
  <si>
    <t>Diagrama de Venn</t>
  </si>
  <si>
    <t>Gerar gráfico de sobreposição entre Google Scholar e IJDSA.</t>
  </si>
  <si>
    <t>Meus dados não têm sobreposição (1_Sobreposição)</t>
  </si>
  <si>
    <t>Fluxo PRISMA</t>
  </si>
  <si>
    <t>Finalizar diagrama com números exatos de exclusão (Triagem -&gt; Inclusão).+1</t>
  </si>
  <si>
    <t>Nuvem de Palavras</t>
  </si>
  <si>
    <t>Extrair textos dos Resumos (Abstracts) e gerar nuvem para validar alinhamento.</t>
  </si>
  <si>
    <t>2. Biblio.</t>
  </si>
  <si>
    <t>Pareto de Publicações</t>
  </si>
  <si>
    <t>Gráfico de barras: Revistas/Conferências por contagem (identificar o "Top Tier").</t>
  </si>
  <si>
    <t>Mapa Geo-Linguístico</t>
  </si>
  <si>
    <t>Cruzamento: País dos Autores vs. Idioma do Dataset (focar no viés anglocêntrico).</t>
  </si>
  <si>
    <t>Matriz de Domínios</t>
  </si>
  <si>
    <t>Heatmap: Domínio (ex: Finanças) x Target (ex: Preço, Volatilidade).</t>
  </si>
  <si>
    <t>3. Técnica</t>
  </si>
  <si>
    <t>Heatmap Co-ocorrência</t>
  </si>
  <si>
    <t>Matriz: Método de Extração (linhas) x Modelo de Regressão (colunas).</t>
  </si>
  <si>
    <t>Scatter "Data Hunger"</t>
  </si>
  <si>
    <t>Gráfico: Tamanho do Dataset (Log N) vs. Categoria NLP (Dense vs. Contextual).</t>
  </si>
  <si>
    <t>Escrita Teórica (P1)</t>
  </si>
  <si>
    <t>Redação da fundamentação técnica: Técnica #1 (ex: Transformers/BERT).</t>
  </si>
  <si>
    <t>Escrita Teórica (P2)</t>
  </si>
  <si>
    <t>Redação da fundamentação técnica: Técnica #2 e #3 (ex: SVR, LSTM).</t>
  </si>
  <si>
    <t>4. Perf.</t>
  </si>
  <si>
    <t>Auditoria de Métricas</t>
  </si>
  <si>
    <t>Tabela de frequência: Quais métricas são usadas? (Crise de padronização) .</t>
  </si>
  <si>
    <t>Cálculo Ganho Relativo</t>
  </si>
  <si>
    <t>Calcular % de melhoria sobre baseline para cada paper (Tarefa complexa - Parte 1).</t>
  </si>
  <si>
    <t>Calcular % de melhoria sobre baseline (Parte 2) + Consolidar gráfico.</t>
  </si>
  <si>
    <t>Clusterização &amp; Tabela</t>
  </si>
  <si>
    <t>Tabela de Benchmarks agrupada por Domínio (ex: Tabela "Finanças" com MAPE).</t>
  </si>
  <si>
    <t>5. Quali.</t>
  </si>
  <si>
    <t>Tagging (Vant./Limit.)</t>
  </si>
  <si>
    <t>Ler colunas de texto e criar tags (categorias) para Vantagens e Limitações.</t>
  </si>
  <si>
    <t>Gráficos Qualitativos</t>
  </si>
  <si>
    <t>Gerar gráficos de barras das tags (ex: "Overfitting" como limitação comum).</t>
  </si>
  <si>
    <t>Contribuição &amp; Inov.</t>
  </si>
  <si>
    <t>Mapear tipo de contribuição (Nova Arquitetura vs. Nova Aplicação).</t>
  </si>
  <si>
    <t>Escrita</t>
  </si>
  <si>
    <t>Síntese dos Resultados</t>
  </si>
  <si>
    <t>Redação do capítulo de Resultados (unindo os gráficos gerados).</t>
  </si>
  <si>
    <t>Discussão Crítica</t>
  </si>
  <si>
    <t>Redação da Discussão (focando em Trade-offs, Gaps e Vieses).</t>
  </si>
  <si>
    <t>Considerações Finais</t>
  </si>
  <si>
    <t>Redação da Conclusão e Trabalhos Futuros.</t>
  </si>
  <si>
    <t>Revisão</t>
  </si>
  <si>
    <t>Checklist Zavadzki</t>
  </si>
  <si>
    <t>Verificar se todos os itens visuais e textuais do paper base estão presentes.</t>
  </si>
  <si>
    <t>Formatação Final</t>
  </si>
  <si>
    <t>Ajuste de referências, legendas de figuras e tabelas.</t>
  </si>
  <si>
    <t>Fim</t>
  </si>
  <si>
    <t>Marco Final</t>
  </si>
  <si>
    <t>Versão pronta para submissão/apresentação ao orientador.</t>
  </si>
  <si>
    <t>title</t>
  </si>
  <si>
    <t>source</t>
  </si>
  <si>
    <t>&lt;i&gt;SeNSe&lt;/i&gt;: embedding alignment via semantic anchors selection</t>
  </si>
  <si>
    <t>Google Scholar</t>
  </si>
  <si>
    <t>A MultilingualBERT EmbeddingsApproach in Identifying Factors Influencing Employability Among Pre-University Students</t>
  </si>
  <si>
    <t>A Pretraining Approach for Small-sample Training Employing Radiographs (PASTER): a Multimodal Transformer Trained by Chest Radiography and Free-text Reports</t>
  </si>
  <si>
    <t>A Survey on the Impact of Pre-Trained Language Models in Sentiment Classification Task</t>
  </si>
  <si>
    <t>Springer International Journal of Data Science and Analytics</t>
  </si>
  <si>
    <t>A common-specific feature cross-fusion attention mechanism for KGVQA</t>
  </si>
  <si>
    <t>A comparative study ontf-idffeature weighting method and its analysis using unstructured dataset</t>
  </si>
  <si>
    <t>A deep learning-based approach for identifying unresolved questions on Stack Exchange Q &amp;amp;A communities through graph-based communication modelling</t>
  </si>
  <si>
    <t>A detailed analysis into evaluation metrics for knowledge graph evaluation</t>
  </si>
  <si>
    <t>A detailed review on word embedding techniques with emphasis onword2vec</t>
  </si>
  <si>
    <t>A graph neural network-based machine learning model for sentiment polarity and behavior identification of COVID patients</t>
  </si>
  <si>
    <t>A hybrid deep learning neural network for early plant disease diagnosis using a real-world Wheat–Barley vision dataset: challenges and solutions</t>
  </si>
  <si>
    <t>A hybrid framework for fake news detection using transformer models with MASHAP</t>
  </si>
  <si>
    <t>A hybrid self attentive linearized phrase structured transformer based RNN for financial sentence analysis with sentence level explainability</t>
  </si>
  <si>
    <t>A late fusion framework using whale optimization technique and attention-BiLSTM for fake news detection</t>
  </si>
  <si>
    <t>A layer-wise survey on internal modifications in BERT and its variants: techniques, applications, and performance trade-offs</t>
  </si>
  <si>
    <t>A novel hybrid support vector machine with firebug swarm optimization</t>
  </si>
  <si>
    <t>A novel sentiment correlation-based method with dual transformer model for stock price prediction</t>
  </si>
  <si>
    <t>A review of sentiment analysis: tasks, applications, and deep learning techniques</t>
  </si>
  <si>
    <t>A review of web infodemic analysis and detection trends across multi-modalities using deep neural network</t>
  </si>
  <si>
    <t>A selective model for transfer learning in CNNs: optimization of fine-tuning layers</t>
  </si>
  <si>
    <t>A similarity-based oversampling method for multi-label imbalanced text data</t>
  </si>
  <si>
    <t>A survey of approximate big data computing with the random sample partition (RSP)</t>
  </si>
  <si>
    <t>A survey of sentiment analysis methods based on graph neural network</t>
  </si>
  <si>
    <t>A survey oftext representationand embedding techniques in nlp</t>
  </si>
  <si>
    <t>A systematic review of machine learning approaches for detecting deceptive activities on social media: methods, challenges, and biases</t>
  </si>
  <si>
    <t>AI and data science for smart emergency, crisis and disaster resilience</t>
  </si>
  <si>
    <t>Acoustic andtext featuresanalysis for adult ADHD screening: A data-driven approach utilizing DIVA interview</t>
  </si>
  <si>
    <t>Actuarial applications of natural language processing using transformers: Case studies for usingtext featuresin an actuarial context</t>
  </si>
  <si>
    <t>Adequate Prompting Improves Performance of Regression Models of Emotional Content</t>
  </si>
  <si>
    <t>Advancements in Large-Scale Image andText RepresentationLearning: A ComprehensiveReviewand Outlook</t>
  </si>
  <si>
    <t>Advancements in feature selection and extraction methods for text mining: a review</t>
  </si>
  <si>
    <t>Algorithmic trading strategy based on the integration of deep learning models and natural language processing</t>
  </si>
  <si>
    <t>An accurate spam email detection mechanism using XLNet</t>
  </si>
  <si>
    <t>An approach for web content classification withFastText</t>
  </si>
  <si>
    <t>An extended survey concerning the significance of artificial intelligence and machine learning techniques for bug triage and management</t>
  </si>
  <si>
    <t>An innovative method for accurate NBA player performance forecasting and line-up optimization in daily fantasy sports</t>
  </si>
  <si>
    <t>An overview of methods and techniques in multimodal data fusion with application to healthcare</t>
  </si>
  <si>
    <t>An overview of sentence ordering task</t>
  </si>
  <si>
    <t>Analysis of the Arab singer Shadia’s lyrics</t>
  </si>
  <si>
    <t>Artificial intelligence trend analysis in German business and politics: a web mining approach</t>
  </si>
  <si>
    <t>Asif: Coupled data turns unimodal models to multimodal without training</t>
  </si>
  <si>
    <t>Aspect-level multimodal sentiment analysis based on co-attention fusion</t>
  </si>
  <si>
    <t>Asurveyoftext representationand embedding techniques in nlp</t>
  </si>
  <si>
    <t>Attention and meta-heuristic based general self-efficacy prediction model from multimodal social media dataset</t>
  </si>
  <si>
    <t>Attention versus contrastive learning of tabular data: a data-centric benchmarking</t>
  </si>
  <si>
    <t>Author identification of literary works based on text analysis and deep learning</t>
  </si>
  <si>
    <t>Automatic user story generation: a comprehensive systematic literature review</t>
  </si>
  <si>
    <t>Automating systematic literature reviews with natural language processing and text mining: A systematicliterature review</t>
  </si>
  <si>
    <t>Comparative analysis of BERT andFastTextrepresentations on crowdfunding campaign success prediction</t>
  </si>
  <si>
    <t>Comparing Pre-Trained Embeddings and Domain-Independent Features forRegression-Based Evaluation of Task-Oriented Dialogue Systems</t>
  </si>
  <si>
    <t>Conditional checkpoint selection strategy based on sentence structures for text to triple translation using BiLSTM encoder–decoder model</t>
  </si>
  <si>
    <t>Context-adaptive intelligent agents behaviors: multivariate LSTM-based decision making on the cryptocurrency market</t>
  </si>
  <si>
    <t>Contrastive text summarization: a survey</t>
  </si>
  <si>
    <t>Cyber insights: exploring the effectiveness of image-based and vector-based feature representations in insider threat detection</t>
  </si>
  <si>
    <t>DarijaBERT: a step forward in NLP for the written Moroccan dialect</t>
  </si>
  <si>
    <t>Dating Greek papyri withtext regression</t>
  </si>
  <si>
    <t>Deciphering language disturbances in schizophrenia: A study using fine-tuned language models</t>
  </si>
  <si>
    <t>Decoding reddit memes virality</t>
  </si>
  <si>
    <t>Deep learning and transfer learning to understand emotions: a PoliEMO dataset and multi-label classification in Indian elections</t>
  </si>
  <si>
    <t>Deep learning for hate speech detection: a comparative study</t>
  </si>
  <si>
    <t>Deep learning, graph-basedtext representationand classification: a survey, perspectives and challenges</t>
  </si>
  <si>
    <t>Deep learning, graph-basedtext representationand classification: asurvey, perspectives and challenges</t>
  </si>
  <si>
    <t>Deep multi-task learning: a review of concepts, methods, and cross-domain applications</t>
  </si>
  <si>
    <t>Deep reinforcement learning approach for ontology matching problem</t>
  </si>
  <si>
    <t>DeepBERT-XAI: a dual BERT approach with XAI for sentiment analysis of airline tweet data</t>
  </si>
  <si>
    <t>Depression Detection in Indonesian X Social Media Text using Convolutional Neural Networks and Long Short-Term Memory with TF-IDF andFastTextMethods</t>
  </si>
  <si>
    <t>Designing a forecasting assistant of the Bitcoin price based on deep learning using market sentiment analysis and multiple feature extraction</t>
  </si>
  <si>
    <t>Detection of homophobia and transphobia in YouTube comments</t>
  </si>
  <si>
    <t>Don't Get Too Excited-Eliciting Emotions in LLMs</t>
  </si>
  <si>
    <t>Dual layer Cogni-insight deep-mood encoder: a two-tiered approach for depression detection</t>
  </si>
  <si>
    <t>Duo satellite-based remotely sensed land surface temperature prediction by various methods of machine learning</t>
  </si>
  <si>
    <t>Efficient graph-based spectral techniques for data with few labeled samples</t>
  </si>
  <si>
    <t>Embeddingregression: Models for context-specific description and inference</t>
  </si>
  <si>
    <t>Empirical assessment of transformer-based neural network architecture in forecasting pollution trends</t>
  </si>
  <si>
    <t>Enhanced detection of fabricated news through sentiment analysis andtext feature extraction</t>
  </si>
  <si>
    <t>Enhancing Arabic‐text feature extractionutilizing label‐semantic augmentation in few/zero‐shot learning</t>
  </si>
  <si>
    <t>Enhancing Emotion Detection in Textual Data: A Comparative Analysis of Machine Learning Models and Feature Extraction Techniques</t>
  </si>
  <si>
    <t>Enhancing Emotion Detection in Textual Data: A Comparative Analysis of Machine Learning Models andFeature ExtractionTechniques</t>
  </si>
  <si>
    <t>Enhancing Text Classification Performance using Stacking Ensemble Method withTF-IDF Feature Extraction</t>
  </si>
  <si>
    <t>Enhancing hate speech detection with user characteristics</t>
  </si>
  <si>
    <t>Enhancing misogyny detection in bilingual texts usingfasttextand explainable ai</t>
  </si>
  <si>
    <t>Enhancing online toxicity detection on gaming networks: a novel embeddings-based valence lexicon approach</t>
  </si>
  <si>
    <t>Enhancing smart home device identification in WiFi environments for futuristic smart networks-based IoT</t>
  </si>
  <si>
    <t>Enhancing textual relatedness assessment with combined transformers-embedding similarity techniques and machine learning regressors</t>
  </si>
  <si>
    <t>Evaluation ofTF-IDFExtraction Techniques in Sentiment Analysis of Indonesian-Language Marketplaces Using SVM, LogisticRegression, and Naive Bayes</t>
  </si>
  <si>
    <t>Explainable hybrid word representations for sentiment analysis of financial news</t>
  </si>
  <si>
    <t>Explainable long-sequence time-series forecasting for infectious diseases using optimised transformer models</t>
  </si>
  <si>
    <t>Exploring machine learning-based methods for anomalies detection: evidence from cryptocurrencies</t>
  </si>
  <si>
    <t>Exploring the development of electrocatalysts through an automated comprehensiveliterature reviewusingNLP</t>
  </si>
  <si>
    <t>FELIX: Automatic and interpretable feature engineering using llms</t>
  </si>
  <si>
    <t>FRP-TNN: an intelligent framework using transformer for financial market risk prediction to enhance decision-making under uncertainty</t>
  </si>
  <si>
    <t>Fake news detection: deep semantic representation with enhanced feature engineering</t>
  </si>
  <si>
    <t>Feature selection based on the complexity of structural patterns in RDF graphs</t>
  </si>
  <si>
    <t>Financial distress prediction with annual reports-based deep textual feature extraction: A hybrid approach</t>
  </si>
  <si>
    <t>Forecasting Scientific Impact: A Model for Predicting Citation Counts</t>
  </si>
  <si>
    <t>Fourier transform and permutation-based transformer for drug–target binding affinity prediction</t>
  </si>
  <si>
    <t>From embeddings to equations: Genetic-programming surrogates for interpretable transformer classification</t>
  </si>
  <si>
    <t>GViG: low-resource generative visual grounding using prompt-based language modeling for visual question answering</t>
  </si>
  <si>
    <t>Graph neural networks: Historical backgrounds, present revolutions, and conventionalization for the future</t>
  </si>
  <si>
    <t>HGR-Net: Hierarchical graph reasoning network for arbitrary shape scene text detection</t>
  </si>
  <si>
    <t>IFND: abenchmarkdataset for fake news detection</t>
  </si>
  <si>
    <t>INRA: deep autoencoder-based node influence ranking method in complex networks</t>
  </si>
  <si>
    <t>Identification of the relevance of comments in codes usingbag of wordsand transformer based models</t>
  </si>
  <si>
    <t>Impact of hotel responses to online reviews on customer loyalty and acquisition: a longitudinal sentiment analysis with booking</t>
  </si>
  <si>
    <t>Improving sentiment analysis of financial news headlines using hybrid Word2Vec-TFIDF feature extractiontechnique</t>
  </si>
  <si>
    <t>Improving stance detection accuracy in low-resource languages: a deep learning framework with ParsBERT</t>
  </si>
  <si>
    <t>Improvingfeature extractionfor sentiment analysis on Indonesian election 2024 using term weighting withfastText</t>
  </si>
  <si>
    <t>Incorporating word embedding and hybrid model random forest softmaxregressionfor predicting news categories</t>
  </si>
  <si>
    <t>Innovative hardware and architectures for ubiquitous data science</t>
  </si>
  <si>
    <t>Interpretable deep learning based textregressionfor financial prediction</t>
  </si>
  <si>
    <t>Interpretable text embeddings and text similarity explanation: Asurvey</t>
  </si>
  <si>
    <t>Investigating response behavior through TF-IDF and Word2vec text analysis: A case study of PISA 2012 problem-solving process data</t>
  </si>
  <si>
    <t>Investigating the Impact of Preprocessing Techniques and Representation Models on Arabic Text Classification using Machine Learning.</t>
  </si>
  <si>
    <t>Investigation of graph-based clustering approaches along with graph neural networks for modeling armed conflict in Bangladesh</t>
  </si>
  <si>
    <t>Invisible Injections: Exploiting Vision-Language Models Through Steganographic Prompt Embedding</t>
  </si>
  <si>
    <t>Large-scale simulation study of active learning models for systematic reviews</t>
  </si>
  <si>
    <t>LegalT5-ABSA: a framework for aspect-based sentiment analysis of parties in legal cases using text-to-text transfer transformer</t>
  </si>
  <si>
    <t>Leveraging AI for biomedical data augmentation: a comparative review of model characteristics, performance analysis, and future research directions</t>
  </si>
  <si>
    <t>Literature reviewon aftershock and earthquake prediction models aided byNLPsummarization and ontology extraction techniques</t>
  </si>
  <si>
    <t>Logisticregressionwith Min-Max scaling andTF-IDFfor app classification and recommendation on Google Play Store</t>
  </si>
  <si>
    <t>MRDCA: a multimodal approach for fine-grained fake news detection through integration of RoBERTa and DenseNet based upon fusion mechanism of co-attention</t>
  </si>
  <si>
    <t>Machine learning and deep learning for genomic data: a data-centric approach to CRISPR/Cas9 gene editing</t>
  </si>
  <si>
    <t>Machine learning, stock market forecasting, and market efficiency: a comparative study</t>
  </si>
  <si>
    <t>Machine learning-based depression detection via Twitter metadata</t>
  </si>
  <si>
    <t>Modeling inflation with machine learning: a cross-horizon systematic review</t>
  </si>
  <si>
    <t>Modeling the time to share fake and real news in online social networks</t>
  </si>
  <si>
    <t>Multilevel depression status detection based on fine-grained prompt learning</t>
  </si>
  <si>
    <t>Narratives from GPT-derived networks of news and a link to financial markets dislocations</t>
  </si>
  <si>
    <t>Natural language processing approaches in industrial maintenance: A systematicliterature review</t>
  </si>
  <si>
    <t>Natural language processing-based software testing: A systematicliterature review</t>
  </si>
  <si>
    <t>NeuroPpred-SVM: a new model for predicting neuropeptides based on embeddings of BERT</t>
  </si>
  <si>
    <t>Node embedding approach for accurate detection of fake reviews: a graph-based machine learning approach with explainable AI</t>
  </si>
  <si>
    <t>Performance evaluation of metaheuristics-tuned recurrent networks with VMD decomposition for Amazon sales prediction</t>
  </si>
  <si>
    <t>Predicting normalized difference vegetation index using a deep attention network with bidirectional GRU: a hybrid parametric optimization approach</t>
  </si>
  <si>
    <t>Predicting software effort using BERT-based word embeddings</t>
  </si>
  <si>
    <t>Predicting subjective ratings of affect and comprehensibility withtext features: A reader response study of narrative poetry</t>
  </si>
  <si>
    <t>Quantifying valence and arousal in text with multilingual pre-trained transformers</t>
  </si>
  <si>
    <t>Re-interpreting rules interpretability</t>
  </si>
  <si>
    <t>Read the news, not the books: forecasting firms' long-term financial performance via deep text mining</t>
  </si>
  <si>
    <t>Redditsocial media textanalysis for depression prediction: using logisticregressionwith enhanced term frequency-inverse document frequency features.</t>
  </si>
  <si>
    <t>Regression applied to legal judgments to predict compensation for immaterial damage</t>
  </si>
  <si>
    <t>Regression in EO: Are VLMs Up to the Challenge?</t>
  </si>
  <si>
    <t>Representation biases insentence transformers</t>
  </si>
  <si>
    <t>Reviewing the effectiveness of lexicon-based techniques for sentiment analysis in massive open online courses</t>
  </si>
  <si>
    <t>Robust Phishing URL Classification UsingFastTextCharacter Embeddings and Hybrid Deep Learning</t>
  </si>
  <si>
    <t>SMPDF: stock movement prediction based on stock prices and text</t>
  </si>
  <si>
    <t>SORBET: a Siamese network for ontology embeddings using a distance-basedregressionloss and BERT</t>
  </si>
  <si>
    <t>SPRAG: building and benchmarking a Short Programming-Related Answer Grading dataset</t>
  </si>
  <si>
    <t>SentiVol-GA: a volatility-scaled genetic fusion of predictive models and financial sentiment for adaptive stock forecasting</t>
  </si>
  <si>
    <t>Sentiment Analysis on Social Media UsingFasttextFeature Expansion and Recurrent Neural Network (RNN) with Genetic Algorithm Optimization</t>
  </si>
  <si>
    <t>Sentiment analysis on twitter using machine learning techniques andtf-idf feature extraction: A comparative study</t>
  </si>
  <si>
    <t>Sentiment analysis using AdBERT model</t>
  </si>
  <si>
    <t>Short and Long-Term Renewable Electricity Demand Forecasting Based on CNN-Bi-GRU Model</t>
  </si>
  <si>
    <t>Smapf-hnna: a novel Stock Market Analysis and Prediction Framework using Hybrid Neural Network Architectures Across Major U.S. Indices</t>
  </si>
  <si>
    <t>Social media data mining of human behaviour during bushfire evacuation</t>
  </si>
  <si>
    <t>Spam Free Social Media User Feed Generation Using ML Technique</t>
  </si>
  <si>
    <t>Speech sentiment recognition using lightweight parallel deep convolution neural network and long short-term memory</t>
  </si>
  <si>
    <t>Statistical interpretation for word embeddings in natural language processing</t>
  </si>
  <si>
    <t>Study of violence against women and its characteristics through the application of text mining techniques</t>
  </si>
  <si>
    <t>Text regressionanalysis: A review, empirical, and experimental insights</t>
  </si>
  <si>
    <t>TextRegressionAnalysis for Predictive Intervals Using Gradient Boosting</t>
  </si>
  <si>
    <t>Textregressionanalysis: A review, empirical, and experimental insights</t>
  </si>
  <si>
    <t>Text‐based soybean futures price forecasting: A two‐stage deep learning approach</t>
  </si>
  <si>
    <t>Tf-idffeature-based spam filtering of mobile sms using a machine learning approach</t>
  </si>
  <si>
    <t>The effects of sentiment evolution in financial texts: A word embedding approach</t>
  </si>
  <si>
    <t>Uncertainty handling in learning to rank: a systematic review</t>
  </si>
  <si>
    <t>Unimodal multi-task fusion for emotional mimicry intensity prediction</t>
  </si>
  <si>
    <t>Use of deep learning-basedNLPmodels for full-text data elements extraction for systematicliterature reviewtasks</t>
  </si>
  <si>
    <t>Using Natural Language Processing to Delineate Digital Markets</t>
  </si>
  <si>
    <t>Video sentiment analysis on social media using an advanced VADER technique</t>
  </si>
  <si>
    <t>Web-based phishing URL detection model using deep learning optimization techniques</t>
  </si>
  <si>
    <t>Weighted Heronian–Maclaurin mean-based classifiers combined with FM and their application in binary classification</t>
  </si>
  <si>
    <t>WoEEE: a hybrid approach for enhancement of categorical data transformation</t>
  </si>
  <si>
    <t>Words of Wisdom: A Journey through the Realm of Natural Language Processing for Learning Analytics--A SystematicLiterature Review.</t>
  </si>
  <si>
    <t>XL-DURel: Finetuningsentence transformersfor ordinal Word-in-Context classification</t>
  </si>
  <si>
    <t>[HTML]A review onsentiment analysisfrom social media platforms</t>
  </si>
  <si>
    <t>[HTML]An efficient method for disaster tweets classification using gradient-based optimized convolutional neural networks withBERT embeddings</t>
  </si>
  <si>
    <t>[HTML]An entropy-based method with a new benchmark dataset for Chinese textual affective structure analysis</t>
  </si>
  <si>
    <t>[HTML]Comparative Analysis of TF–IDF and Hashing Vectorizer for Fake News Detection in Sindhi: A Machine Learning and Deep Learning Approach</t>
  </si>
  <si>
    <t>[HTML]Curriculum–Vacancy–Course Recommendation Model Based on Knowledge Graphs,Sentence Transformers, and Graph Neural Networks</t>
  </si>
  <si>
    <t>[HTML]Enhancing Agile Story Point Estimation: Integrating Deep Learning, Machine Learning, and Natural Language Processing with SBERT and Gradient Boosted …</t>
  </si>
  <si>
    <t>[HTML]Extracting sentence embeddings from pretrained transformer models</t>
  </si>
  <si>
    <t>[HTML]Improving Sentiment Analysis Performance on Imbalanced Moroccan Dialect Datasets Using Resample and Feature Extraction Techniques</t>
  </si>
  <si>
    <t>[HTML]Item difficulty prediction using itemtext features:Comparisonof predictive performance across machine-learning algorithms</t>
  </si>
  <si>
    <t>[HTML]Manipulation Direction: Evaluating Text-Guided Image Manipulation Based on Similarity between Changes in Image and Text Modalities</t>
  </si>
  <si>
    <t>[HTML]Residential load forecasting based on long short-term memory, considering temporal local attention</t>
  </si>
  <si>
    <t>[HTML]STTRE: A Spatio-Temporal Transformer with Relative Embeddings for multivariate time series forecasting</t>
  </si>
  <si>
    <t>[HTML]Textual feature extraction using ant colony optimization for hate speech classification</t>
  </si>
  <si>
    <t>[HTML]Towards AI-Generated Essay Classification Using NumericalText Representation</t>
  </si>
  <si>
    <t>[HTML]Unifying sentence transformer embedding and softmax voting ensemble for accurate news category prediction</t>
  </si>
  <si>
    <t>[HTML]Using natural language processing to track negative emotions in the daily lives of adolescents</t>
  </si>
  <si>
    <t>[HTML]… evidence synthesis in observational studies: Development of a living natural language processing–assisted intelligent systematicliterature reviewsystem</t>
  </si>
  <si>
    <t>[PDF]Bag of words and embeddingtext representationmethods for medical article classification</t>
  </si>
  <si>
    <t>[PDF]Can demographic factors improve text classification? revisiting demographic adaptation in the age of transformers</t>
  </si>
  <si>
    <t>[PDF]Comparison of Naïve Bayes and logisticregressioninsentiment analysison marketplace reviews using rating-based labeling</t>
  </si>
  <si>
    <t>[PDF]Detecting depression from text: A gender based comparative approach using Machine learning andBERT embeddings</t>
  </si>
  <si>
    <t>[PDF]Financial Market Prediction using Contrastive Learning-based News Representation and Multi-Resolution Market Data</t>
  </si>
  <si>
    <t>[PDF]RETHINKING THE USE OF SOCIAL BLOGS FOR CORPORATE REPUTATION MANAGEMENT IN EMERGING MARKETS POST COVID-19</t>
  </si>
  <si>
    <t>[PDF]The implementation ofglovetext embeddings and numerical indicators analysis for plastic resin price prediction</t>
  </si>
  <si>
    <t>… SemEval-2024 Task 1: Evaluating Semantic Textual Relatedness in Low-resource Languages using Various Embedding Methods and Machine LearningRegression…</t>
  </si>
  <si>
    <t>index</t>
  </si>
  <si>
    <t>link</t>
  </si>
  <si>
    <t>year</t>
  </si>
  <si>
    <t>citations</t>
  </si>
  <si>
    <t>pdf_link</t>
  </si>
  <si>
    <t>category</t>
  </si>
  <si>
    <t>qtd</t>
  </si>
  <si>
    <t>Abstract read</t>
  </si>
  <si>
    <t>Includes Feature extraction</t>
  </si>
  <si>
    <t>Text as regression model variables</t>
  </si>
  <si>
    <t>No mention of regression</t>
  </si>
  <si>
    <t>No mention of using NLP for supervised Machine Learning</t>
  </si>
  <si>
    <t>NLP nor Regression are mentioned</t>
  </si>
  <si>
    <t>Revisto para nova rejeição</t>
  </si>
  <si>
    <t>Rejeição nova: "O estudo aborda a tarefa como um problema de classificação (saídas discretas/classes) em vez de regressão (saídas numéricas contínuas)."</t>
  </si>
  <si>
    <t>Duplicado</t>
  </si>
  <si>
    <t>Sem acesso</t>
  </si>
  <si>
    <t>Etapa</t>
  </si>
  <si>
    <t>Item</t>
  </si>
  <si>
    <t>Descrição</t>
  </si>
  <si>
    <t>Total</t>
  </si>
  <si>
    <t>https://link.springer.com/article/10.1007/s41060-024-00522-z</t>
  </si>
  <si>
    <t>None</t>
  </si>
  <si>
    <t>['Dense Embeddings', 'Applied cases']</t>
  </si>
  <si>
    <t>IC III</t>
  </si>
  <si>
    <t>Artigos que aplicam ou descrevem métodos de extração de características textuais.</t>
  </si>
  <si>
    <t>https://ieeexplore.ieee.org/abstract/document/10730172/</t>
  </si>
  <si>
    <t>nan</t>
  </si>
  <si>
    <t>['Contextual Embeddings']</t>
  </si>
  <si>
    <t>IC IV</t>
  </si>
  <si>
    <t>Artigos que usam texto como variável para modelos de regressão.</t>
  </si>
  <si>
    <t>https://link.springer.com/article/10.1007/s10916-025-02263-3</t>
  </si>
  <si>
    <t>https://linchin.ndmctsgh.edu.tw/papers/2025/2025%20Journal%20of%20Medical%20System.%2049(1)%20120%20(cor).pdf</t>
  </si>
  <si>
    <t>EC I</t>
  </si>
  <si>
    <t>Trabalhos sem aplicação direta em modelos de regressão.</t>
  </si>
  <si>
    <t>https://link.springer.com/article/10.1007/s41060-025-00805-z</t>
  </si>
  <si>
    <t>['Classic Methods', 'Dense Embeddings', 'Comparison of methods', 'Literature Reviews', 'Applied cases']</t>
  </si>
  <si>
    <t>EC II</t>
  </si>
  <si>
    <t xml:space="preserve">Artigos puramente teóricos de NLP sem relação com representação de texto para machine learning supervisionado.
</t>
  </si>
  <si>
    <t>https://link.springer.com/article/10.1007/s41060-024-00536-7</t>
  </si>
  <si>
    <t>['Dense Embeddings', 'Comparison of methods']</t>
  </si>
  <si>
    <t>EC III</t>
  </si>
  <si>
    <t>Não há menção de NLP e nem regressão no texto.</t>
  </si>
  <si>
    <t>https://arxiv.org/abs/2308.04037</t>
  </si>
  <si>
    <t>https://arxiv.org/pdf/2308.04037</t>
  </si>
  <si>
    <t>['Classic Methods']</t>
  </si>
  <si>
    <t>EC IV</t>
  </si>
  <si>
    <t>Estudos duplicados.</t>
  </si>
  <si>
    <t>https://link.springer.com/article/10.1007/s41060-023-00454-0</t>
  </si>
  <si>
    <t>EC V</t>
  </si>
  <si>
    <t>O estudo aborda a tarefa como um problema de classificação (saídas discretas/classes) em vez de regressão (saídas numéricas contínuas).</t>
  </si>
  <si>
    <t>https://link.springer.com/article/10.1007/s41060-025-00871-3</t>
  </si>
  <si>
    <t>['Applied cases']</t>
  </si>
  <si>
    <t>SA</t>
  </si>
  <si>
    <t>https://link.springer.com/article/10.1007/s11042-023-17007-z</t>
  </si>
  <si>
    <t>['Dense Embeddings']</t>
  </si>
  <si>
    <t>OK</t>
  </si>
  <si>
    <t>Ler Completo</t>
  </si>
  <si>
    <t>https://link.springer.com/article/10.1007/s41060-023-00469-7</t>
  </si>
  <si>
    <t>['Literature Reviews', 'Applied cases']</t>
  </si>
  <si>
    <t>https://link.springer.com/article/10.1007/s41060-024-00578-x</t>
  </si>
  <si>
    <t>['Comparison of methods']</t>
  </si>
  <si>
    <t>Duplicados</t>
  </si>
  <si>
    <t>https://link.springer.com/article/10.1007/s41060-025-00952-3</t>
  </si>
  <si>
    <t>['Classic Methods', 'Dense Embeddings', 'Comparison of methods']</t>
  </si>
  <si>
    <t>https://www.nature.com/articles/s41598-025-09265-8</t>
  </si>
  <si>
    <t>https://www.nature.com/articles/s41598-025-09265-8.pdf</t>
  </si>
  <si>
    <t>https://link.springer.com/article/10.1007/s41060-024-00515-y</t>
  </si>
  <si>
    <t>['Classic Methods', 'Dense Embeddings', 'Comparison of methods', 'Applied cases']</t>
  </si>
  <si>
    <t>https://link.springer.com/article/10.1007/s41060-025-00986-7</t>
  </si>
  <si>
    <t>['Dense Embeddings', 'Contextual Embeddings', 'Literature Reviews', 'Applied cases']</t>
  </si>
  <si>
    <t>https://link.springer.com/article/10.1007/s41060-024-00520-1</t>
  </si>
  <si>
    <t>https://ieeexplore.ieee.org/abstract/document/10516113/</t>
  </si>
  <si>
    <t>['Literature Reviews']</t>
  </si>
  <si>
    <t>https://link.springer.com/article/10.1007/s41060-024-00594-x</t>
  </si>
  <si>
    <t>['Classic Methods', 'Dense Embeddings', 'Literature Reviews', 'Applied cases']</t>
  </si>
  <si>
    <t>https://link.springer.com/article/10.1007/s41060-025-00727-w</t>
  </si>
  <si>
    <t>https://link.springer.com/article/10.1007/s41060-024-00697-5</t>
  </si>
  <si>
    <t>https://link.springer.com/article/10.1007/s41060-025-00966-x</t>
  </si>
  <si>
    <t>['Dense Embeddings', 'Literature Reviews']</t>
  </si>
  <si>
    <t>https://link.springer.com/article/10.1007/s41060-025-00916-7</t>
  </si>
  <si>
    <t>https://link.springer.com/article/10.1007/s41060-025-00714-1</t>
  </si>
  <si>
    <t>https://ieeexplore.ieee.org/abstract/document/10098736/</t>
  </si>
  <si>
    <t>https://ieeexplore.ieee.org/iel7/6287639/6514899/10098736.pdf</t>
  </si>
  <si>
    <t>['Classic Methods', 'Comparison of methods']</t>
  </si>
  <si>
    <t>https://link.springer.com/article/10.1007/s41060-025-00850-8</t>
  </si>
  <si>
    <t>['Classic Methods', 'Dense Embeddings', 'Applied cases']</t>
  </si>
  <si>
    <t>https://link.springer.com/article/10.1007/s41060-023-00393-w</t>
  </si>
  <si>
    <t>https://ieeexplore.ieee.org/abstract/document/10445184/</t>
  </si>
  <si>
    <t>https://ieeexplore.ieee.org/iel7/6221039/6563131/10445184.pdf</t>
  </si>
  <si>
    <t>https://www.cambridge.org/core/journals/british-actuarial-journal/article/actuarial-applications-of-natural-language-processing-using-transformers-case-studies-for-using-text-features-in-an-actuarial-context/FE5758599524A5C5A837BE54A34155C5</t>
  </si>
  <si>
    <t>https://www.cambridge.org/core/services/aop-cambridge-core/content/view/FE5758599524A5C5A837BE54A34155C5/S1357321724000023a.pdf/actuarial_applications_of_natural_language_processing_using_transformers_case_studies_for_using_text_features_in_an_actuarial_context.pdf</t>
  </si>
  <si>
    <t>https://dl.acm.org/doi/abs/10.1145/3677525.3678653</t>
  </si>
  <si>
    <t>https://dl.acm.org/doi/pdf/10.1145/3677525.3678653</t>
  </si>
  <si>
    <t>['General']</t>
  </si>
  <si>
    <t>https://ieeexplore.ieee.org/abstract/document/10883956/</t>
  </si>
  <si>
    <t>https://ieeexplore.ieee.org/iel8/6287639/6514899/10883956.pdf</t>
  </si>
  <si>
    <t>https://link.springer.com/article/10.1007/s42452-025-07587-w</t>
  </si>
  <si>
    <t>https://link.springer.com/content/pdf/10.1007/s42452-025-07587-w.pdf</t>
  </si>
  <si>
    <t>https://link.springer.com/article/10.1007/s41060-023-00421-9</t>
  </si>
  <si>
    <t>https://link.springer.com/article/10.1007/s41060-025-00887-9</t>
  </si>
  <si>
    <t>https://link.springer.com/chapter/10.1007/978-981-97-0669-3_14</t>
  </si>
  <si>
    <t>https://ieeexplore.ieee.org/abstract/document/10305170/</t>
  </si>
  <si>
    <t>https://ieeexplore.ieee.org/iel7/6287639/6514899/10305170.pdf</t>
  </si>
  <si>
    <t>https://link.springer.com/article/10.1007/s41060-024-00523-y</t>
  </si>
  <si>
    <t>https://link.springer.com/article/10.1007/s41060-025-00715-0</t>
  </si>
  <si>
    <t>https://link.springer.com/article/10.1007/s41060-024-00550-9</t>
  </si>
  <si>
    <t>https://link.springer.com/article/10.1007/s41060-024-00669-9</t>
  </si>
  <si>
    <t>https://link.springer.com/article/10.1007/s41060-023-00483-9</t>
  </si>
  <si>
    <t>['Dense Embeddings', 'Literature Reviews', 'Applied cases']</t>
  </si>
  <si>
    <t>https://proceedings.neurips.cc/paper_files/paper/2023/hash/3186591903d9db31770ad131adb5ceb4-Abstract-Conference.html</t>
  </si>
  <si>
    <t>https://proceedings.neurips.cc/paper_files/paper/2023/file/3186591903d9db31770ad131adb5ceb4-Paper-Conference.pdf</t>
  </si>
  <si>
    <t>https://link.springer.com/article/10.1007/s41060-023-00497-3</t>
  </si>
  <si>
    <t>['Dense Embeddings', 'Comparison of methods', 'Applied cases']</t>
  </si>
  <si>
    <t>https://ieeexplore.ieee.org/abstract/document/10459187/</t>
  </si>
  <si>
    <t>https://ieeexplore.ieee.org/iel7/6287639/6514899/10459187.pdf</t>
  </si>
  <si>
    <t>https://link.springer.com/article/10.1007/s41060-024-00681-z</t>
  </si>
  <si>
    <t>https://www.cell.com/heliyon/fulltext/S2405-8440(24)01495-6</t>
  </si>
  <si>
    <t>https://www.cell.com/heliyon/pdf/S2405-8440(24)01495-6.pdf</t>
  </si>
  <si>
    <t>https://link.springer.com/article/10.1007/s41060-024-00567-0</t>
  </si>
  <si>
    <t>https://link.springer.com/chapter/10.1007/978-981-99-3243-6_7</t>
  </si>
  <si>
    <t>https://arxiv.org/pdf/2211.15397</t>
  </si>
  <si>
    <t>https://peerj.com/articles/cs-2316/</t>
  </si>
  <si>
    <t>https://peerj.com/articles/cs-2316.pdf</t>
  </si>
  <si>
    <t>https://aclanthology.org/2024.sigdial-1.52/</t>
  </si>
  <si>
    <t>https://aclanthology.org/2024.sigdial-1.52.pdf</t>
  </si>
  <si>
    <t>https://link.springer.com/article/10.1007/s41060-024-00672-0</t>
  </si>
  <si>
    <t>https://link.springer.com/article/10.1007/s41060-023-00435-3</t>
  </si>
  <si>
    <t>https://link.springer.com/article/10.1007/s41060-023-00434-4</t>
  </si>
  <si>
    <t>https://link.springer.com/article/10.1007/s41060-025-00960-3</t>
  </si>
  <si>
    <t>https://link.springer.com/article/10.1007/s41060-023-00498-2</t>
  </si>
  <si>
    <t>https://aclanthology.org/2023.acl-long.556/</t>
  </si>
  <si>
    <t>https://aclanthology.org/2023.acl-long.556.pdf</t>
  </si>
  <si>
    <t>https://www.sciencedirect.com/science/article/pii/S0920996424003219</t>
  </si>
  <si>
    <t>https://link.springer.com/article/10.1007/s41060-025-00772-5</t>
  </si>
  <si>
    <t>['Comparison of methods', 'Applied cases']</t>
  </si>
  <si>
    <t>https://link.springer.com/article/10.1007/s41060-025-00738-7</t>
  </si>
  <si>
    <t>https://link.springer.com/article/10.1007/s41060-024-00650-6</t>
  </si>
  <si>
    <t>['Dense Embeddings', 'Contextual Embeddings', 'Applied cases']</t>
  </si>
  <si>
    <t>https://link.springer.com/article/10.1007/s10462-022-10265-7</t>
  </si>
  <si>
    <t>https://link.springer.com/article/10.1007/s41060-025-00892-y</t>
  </si>
  <si>
    <t>https://link.springer.com/article/10.1007/s41060-023-00425-5</t>
  </si>
  <si>
    <t>https://link.springer.com/article/10.1007/s41060-025-00967-w</t>
  </si>
  <si>
    <t>['Classic Methods', 'Applied cases']</t>
  </si>
  <si>
    <t>https://jutif.if.unsoed.ac.id/index.php/jurnal/article/view/4206</t>
  </si>
  <si>
    <t>https://jutif.if.unsoed.ac.id/index.php/jurnal/article/download/4206/825</t>
  </si>
  <si>
    <t>https://link.springer.com/article/10.1007/s00500-023-09028-5</t>
  </si>
  <si>
    <t>https://www.researchsquare.com/article/rs-1341589/latest.pdf</t>
  </si>
  <si>
    <t>https://link.springer.com/article/10.1007/s41060-023-00400-0</t>
  </si>
  <si>
    <t>['Dense Embeddings', 'Contextual Embeddings']</t>
  </si>
  <si>
    <t>https://dl.acm.org/doi/abs/10.1145/3706599.3720191</t>
  </si>
  <si>
    <t>https://dl.acm.org/doi/pdf/10.1145/3706599.3720191</t>
  </si>
  <si>
    <t>https://link.springer.com/article/10.1007/s41060-024-00572-3</t>
  </si>
  <si>
    <t>https://link.springer.com/article/10.1007/s41060-023-00459-9</t>
  </si>
  <si>
    <t>https://link.springer.com/article/10.1007/s41060-023-00403-x</t>
  </si>
  <si>
    <t>https://www.cambridge.org/core/journals/american-political-science-review/article/embedding-regression-models-for-contextspecific-description-and-inference/4C90013E5C714C8483ED95CC699022FB</t>
  </si>
  <si>
    <t>https://www.cambridge.org/core/services/aop-cambridge-core/content/view/4C90013E5C714C8483ED95CC699022FB/S0003055422001228a.pdf/div-class-title-embedding-regression-models-for-context-specific-description-and-inference-div.pdf</t>
  </si>
  <si>
    <t>https://link.springer.com/article/10.1007/s41060-024-00640-8</t>
  </si>
  <si>
    <t>['Comparison of methods', 'Literature Reviews']</t>
  </si>
  <si>
    <t>https://link.springer.com/article/10.1007/s41870-024-01971-2</t>
  </si>
  <si>
    <t>https://onlinelibrary.wiley.com/doi/abs/10.1111/exsy.13329</t>
  </si>
  <si>
    <t>https://onlinelibrary.wiley.com/doi/pdfdirect/10.1111/exsy.13329</t>
  </si>
  <si>
    <t>https://etasr.com/index.php/ETASR/article/view/7806</t>
  </si>
  <si>
    <t>https://etasr.com/index.php/ETASR/article/download/7806/3998</t>
  </si>
  <si>
    <t>https://ieeexplore.ieee.org/abstract/document/10493890/</t>
  </si>
  <si>
    <t>https://link.springer.com/article/10.1007/s41060-023-00437-1</t>
  </si>
  <si>
    <t>['Dense Embeddings', 'Contextual Embeddings', 'Comparison of methods']</t>
  </si>
  <si>
    <t>https://ieeexplore.ieee.org/abstract/document/10581058/</t>
  </si>
  <si>
    <t>https://drive.google.com/file/d/1XmiliiFtWYxtSEiQNjAAvaiomcysVpGg/view</t>
  </si>
  <si>
    <t>https://link.springer.com/article/10.1007/s41060-025-00730-1</t>
  </si>
  <si>
    <t>https://link.springer.com/article/10.1007/s41060-023-00489-3</t>
  </si>
  <si>
    <t>https://ieeexplore.ieee.org/abstract/document/10217726/</t>
  </si>
  <si>
    <t>https://www.researchgate.net/profile/Wael-Gomaa/publication/373375436_Enhancing_Textual_Relatedness_Assessment_with_Combined_Transformers-Embedding_Similarity_Techniques_and_Machine_Learning_Regressors/links/652bacdf0e4a1710e50ceddb/Enhancing-Textual-Relatedness-Assessment-with-Combined-Transformers-Embedding-Similarity-Techniques-and-Machine-Learning-Regressors.pdf</t>
  </si>
  <si>
    <t>https://journal.unj.ac.id/unj/index.php/jkoma/article/view/60237</t>
  </si>
  <si>
    <t>https://journal.unj.ac.id/unj/index.php/jkoma/article/download/60237/21197</t>
  </si>
  <si>
    <t>https://www.sciencedirect.com/science/article/pii/S0893608023001880</t>
  </si>
  <si>
    <t>https://opus.lib.uts.edu.au/bitstream/10453/171637/2/Explainable%20hybrid%20word%20representations%20for%20sentiment%20analysis%20of%20financial%20news.pdf</t>
  </si>
  <si>
    <t>https://link.springer.com/article/10.1007/s41060-025-00930-9</t>
  </si>
  <si>
    <t>https://link.springer.com/article/10.1007/s41060-024-00703-w</t>
  </si>
  <si>
    <t>https://www.sciencedirect.com/science/article/pii/S2950284525000141</t>
  </si>
  <si>
    <t>https://papers.ssrn.com/sol3/Delivery.cfm?abstractid=5020756</t>
  </si>
  <si>
    <t>https://link.springer.com/chapter/10.1007/978-3-031-70359-1_14</t>
  </si>
  <si>
    <t>https://link.springer.com/article/10.1007/s41060-025-00873-1</t>
  </si>
  <si>
    <t>https://link.springer.com/article/10.1007/s41060-023-00387-8</t>
  </si>
  <si>
    <t>https://link.springer.com/article/10.1007/s41060-023-00466-w</t>
  </si>
  <si>
    <t>https://www.sciencedirect.com/science/article/pii/S0020025524012325</t>
  </si>
  <si>
    <t>http://iapress.org/index.php/soic/article/view/2524</t>
  </si>
  <si>
    <t>http://iapress.org/index.php/soic/article/download/2524/1365</t>
  </si>
  <si>
    <t>https://link.springer.com/article/10.1007/s41060-025-00865-1</t>
  </si>
  <si>
    <t>https://arxiv.org/abs/2509.21341</t>
  </si>
  <si>
    <t>https://arxiv.org/pdf/2509.21341?</t>
  </si>
  <si>
    <t>https://link.springer.com/article/10.1007/s41060-025-00835-7</t>
  </si>
  <si>
    <t>https://link.springer.com/article/10.1007/s41060-025-00797-w</t>
  </si>
  <si>
    <t>https://ieeexplore.ieee.org/abstract/document/10185179/</t>
  </si>
  <si>
    <t>https://link.springer.com/article/10.1007/s40747-021-00552-1</t>
  </si>
  <si>
    <t>https://link.springer.com/content/pdf/10.1007/s40747-021-00552-1.pdf</t>
  </si>
  <si>
    <t>https://link.springer.com/article/10.1007/s41060-025-00812-0</t>
  </si>
  <si>
    <t>https://arxiv.org/abs/2308.06144</t>
  </si>
  <si>
    <t>https://arxiv.org/pdf/2308.06144</t>
  </si>
  <si>
    <t>https://link.springer.com/article/10.1007/s41060-025-00870-4</t>
  </si>
  <si>
    <t>https://www.sciencedirect.com/science/article/pii/S1877050924029739</t>
  </si>
  <si>
    <t>https://www.sciencedirect.com/science/article/pii/S1877050924029739/pdf?md5=3f64814a6c79d230453664f21eeb3b83&amp;pid=1-s2.0-S1877050924029739-main.pdf</t>
  </si>
  <si>
    <t>https://link.springer.com/article/10.1007/s41060-024-00630-w</t>
  </si>
  <si>
    <t>['Classic Methods', 'Dense Embeddings', 'Contextual Embeddings', 'Comparison of methods', 'Literature Reviews']</t>
  </si>
  <si>
    <t>https://ieeexplore.ieee.org/abstract/document/10652172/</t>
  </si>
  <si>
    <t>https://link.springer.com/article/10.1007/s11042-023-16491-7</t>
  </si>
  <si>
    <t>https://link.springer.com/article/10.1007/s41060-025-00795-y</t>
  </si>
  <si>
    <t>https://link.springer.com/article/10.1007/s41060-024-00692-w</t>
  </si>
  <si>
    <t>https://aclanthology.org/2025.emnlp-main.1135/</t>
  </si>
  <si>
    <t>https://aclanthology.org/2025.emnlp-main.1135.pdf</t>
  </si>
  <si>
    <t>https://www.cell.com/heliyon/fulltext/S2405-8440(24)11976-7</t>
  </si>
  <si>
    <t>https://www.cell.com/heliyon/pdf/S2405-8440(24)11976-7.pdf</t>
  </si>
  <si>
    <t>https://search.ebscohost.com/login.aspx?direct=true&amp;profile=ehost&amp;scope=site&amp;authtype=crawler&amp;jrnl=2158107X&amp;AN=175401681&amp;h=mPtYEwO%2Futm4JUlTfKR7HOYTg44fzs2k%2FmyP8ADFOr9ysRlRgLCWWXRO05PtklTPOfAchocriPI8oZ4C7mXDBQ%3D%3D&amp;crl=c</t>
  </si>
  <si>
    <t>https://link.springer.com/article/10.1007/s41060-025-00849-1</t>
  </si>
  <si>
    <t>https://arxiv.org/abs/2507.22304</t>
  </si>
  <si>
    <t>https://arxiv.org/pdf/2507.22304</t>
  </si>
  <si>
    <t>https://link.springer.com/article/10.1007/s41060-025-00777-0</t>
  </si>
  <si>
    <t>['Classic Methods', 'Dense Embeddings', 'Contextual Embeddings']</t>
  </si>
  <si>
    <t>https://link.springer.com/article/10.1007/s41060-025-00744-9</t>
  </si>
  <si>
    <t>https://link.springer.com/article/10.1007/s41060-025-00893-x</t>
  </si>
  <si>
    <t>https://www.sciencedirect.com/science/article/pii/S1877050924013000</t>
  </si>
  <si>
    <t>https://www.sciencedirect.com/science/article/pii/S1877050924013000/pdf?md5=f38125a06814ec36096db82468d42ac5&amp;pid=1-s2.0-S1877050924013000-main.pdf</t>
  </si>
  <si>
    <t>https://www.jiki.jurnal-id.com/index.php/jiki/article/view/288</t>
  </si>
  <si>
    <t>https://www.jiki.jurnal-id.com/index.php/jiki/article/download/288/64</t>
  </si>
  <si>
    <t>https://link.springer.com/article/10.1007/s10479-022-05154-9</t>
  </si>
  <si>
    <t>['Hybrid Methods']</t>
  </si>
  <si>
    <t>https://link.springer.com/article/10.1007/s41060-025-00773-4</t>
  </si>
  <si>
    <t>['Dense Embeddings', 'Contextual Embeddings', 'Literature Reviews']</t>
  </si>
  <si>
    <t>https://link.springer.com/article/10.1007/s41060-025-00854-4</t>
  </si>
  <si>
    <t>https://ieeexplore.ieee.org/abstract/document/10718376/</t>
  </si>
  <si>
    <t>https://link.springer.com/article/10.1007/s41060-025-00905-w</t>
  </si>
  <si>
    <t>https://link.springer.com/article/10.1007/s41060-023-00424-6</t>
  </si>
  <si>
    <t>https://www.sciencedirect.com/science/article/pii/S0167865524000059</t>
  </si>
  <si>
    <t>https://link.springer.com/article/10.1007/s41060-024-00516-x</t>
  </si>
  <si>
    <t>https://www.sciencedirect.com/science/article/pii/S1877050924002060</t>
  </si>
  <si>
    <t>https://www.sciencedirect.com/science/article/pii/S1877050924002060/pdf?md5=debfece4d3bf700ee9f9d68570e41ac2&amp;pid=1-s2.0-S1877050924002060-main.pdf</t>
  </si>
  <si>
    <t>https://ieeexplore.ieee.org/abstract/document/10542730/</t>
  </si>
  <si>
    <t>https://ieeexplore.ieee.org/iel8/6287639/6514899/10542730.pdf</t>
  </si>
  <si>
    <t>https://pubs.acs.org/doi/abs/10.1021/acs.jproteome.2c00363</t>
  </si>
  <si>
    <t>https://link.springer.com/article/10.1007/s41060-024-00565-2</t>
  </si>
  <si>
    <t>https://link.springer.com/article/10.1007/s41060-024-00689-5</t>
  </si>
  <si>
    <t>https://link.springer.com/article/10.1007/s41060-025-00932-7</t>
  </si>
  <si>
    <t>https://link.springer.com/article/10.1007/s13198-025-02746-z</t>
  </si>
  <si>
    <t>https://www.frontiersin.org/journals/psychology/articles/10.3389/fpsyg.2024.1431764/full</t>
  </si>
  <si>
    <t>https://www.frontiersin.org/journals/psychology/articles/10.3389/fpsyg.2024.1431764/pdf</t>
  </si>
  <si>
    <t>https://link.springer.com/chapter/10.1007/978-3-031-28244-7_6</t>
  </si>
  <si>
    <t>https://arxiv.org/pdf/2302.14021</t>
  </si>
  <si>
    <t>https://link.springer.com/article/10.1007/s41060-023-00398-5</t>
  </si>
  <si>
    <t>https://dl.acm.org/doi/abs/10.1145/3533018</t>
  </si>
  <si>
    <t>https://dl.acm.org/doi/pdf/10.1145/3533018</t>
  </si>
  <si>
    <t>https://link.springer.com/article/10.1007/s41060-025-00983-w</t>
  </si>
  <si>
    <t>https://peerj.com/articles/cs-1225/</t>
  </si>
  <si>
    <t>https://peerj.com/articles/cs-1225.pdf</t>
  </si>
  <si>
    <t>https://arxiv.org/abs/2502.14088</t>
  </si>
  <si>
    <t>https://arxiv.org/pdf/2502.14088?</t>
  </si>
  <si>
    <t>https://arxiv.org/abs/2301.13039</t>
  </si>
  <si>
    <t>https://arxiv.org/pdf/2301.13039</t>
  </si>
  <si>
    <t>https://link.springer.com/article/10.1007/s41060-024-00585-y</t>
  </si>
  <si>
    <t>['Comparison of methods', 'Literature Reviews', 'Applied cases']</t>
  </si>
  <si>
    <t>https://ieeexplore.ieee.org/abstract/document/10928513/</t>
  </si>
  <si>
    <t>Text Regression Analysis for Predictive Intervals Using Gradient Boosting</t>
  </si>
  <si>
    <t>https://link.springer.com/chapter/10.1007/978-3-031-28073-3_18</t>
  </si>
  <si>
    <t>['Classic Methods', 'Dense Embeddings']</t>
  </si>
  <si>
    <t>Contatado</t>
  </si>
  <si>
    <t>https://link.springer.com/chapter/10.1007/978-3-031-47240-4_30</t>
  </si>
  <si>
    <t>https://iswc2023.semanticweb.org/wp-content/uploads/2023/11/142650552.pdf</t>
  </si>
  <si>
    <t>https://link.springer.com/article/10.1007/s41060-024-00576-z</t>
  </si>
  <si>
    <t>https://onlinelibrary.wiley.com/doi/abs/10.1002/for.2909</t>
  </si>
  <si>
    <t>https://socjs.telkomuniversity.ac.id/ojs/index.php/ijoict/article/view/905</t>
  </si>
  <si>
    <t>https://socjs.telkomuniversity.ac.id/ojs/index.php/ijoict/article/download/905/419</t>
  </si>
  <si>
    <t>https://ijci.journals.ekb.eg/article_317733.html</t>
  </si>
  <si>
    <t>https://ijci.journals.ekb.eg/article_317733_39d6684e23d4012db082c558315238ce.pdf</t>
  </si>
  <si>
    <t>https://link.springer.com/article/10.1007/s41060-025-00725-y</t>
  </si>
  <si>
    <t>https://www.icck.org/article/tetai/193/143</t>
  </si>
  <si>
    <t>https://www.icck.org/filebob/uploads/storage/TETAI_6fK2mlPW4ZdM59A.pdf</t>
  </si>
  <si>
    <t>https://link.springer.com/article/10.1007/s41060-025-00811-1</t>
  </si>
  <si>
    <t>https://link.springer.com/article/10.1007/s41060-025-00884-y</t>
  </si>
  <si>
    <t>https://ieeexplore.ieee.org/abstract/document/10506023/</t>
  </si>
  <si>
    <t>https://link.springer.com/article/10.1007/s41060-025-00822-y</t>
  </si>
  <si>
    <t>https://link.springer.com/article/10.1007/s41060-025-00955-0</t>
  </si>
  <si>
    <t>https://link.springer.com/article/10.1007/s41060-023-00448-y</t>
  </si>
  <si>
    <t>https://ieeexplore.ieee.org/abstract/document/10640097/</t>
  </si>
  <si>
    <t>https://ieeexplore.ieee.org/iel8/6287639/10380310/10640097.pdf</t>
  </si>
  <si>
    <t>https://onlinelibrary.wiley.com/doi/abs/10.1111/exsy.13368</t>
  </si>
  <si>
    <t>Reddit social media text analysis for depression prediction: using logisticregressionwith enhanced term frequency-inverse document frequency features.</t>
  </si>
  <si>
    <t>https://search.ebscohost.com/login.aspx?direct=true&amp;profile=ehost&amp;scope=site&amp;authtype=crawler&amp;jrnl=20888708&amp;AN=179593921&amp;h=FEgLf7J1assj%2BI9NxCT1BA82V8tF88EiqTtxFouz42Oit78q4rzdyyBff911J0y%2FJ464NzLKd1MdQLybX2hyEA%3D%3D&amp;crl=c</t>
  </si>
  <si>
    <t>https://www.taylorfrancis.com/chapters/edit/10.1201/9781003256083-13/tf-idf-feature-based-spam-filtering-mobile-sms-using-machine-learning-approach-syed-md-minhaz-hossain-khaleque-md-aashiq-kamal-anik-sen-iqbal-sarker</t>
  </si>
  <si>
    <t>https://www.tandfonline.com/doi/abs/10.1080/07421222.2023.2301176</t>
  </si>
  <si>
    <t>https://drive.google.com/file/d/1DOuLQQzSPrmgr1rpIaf-dohO6-13BaRy/view</t>
  </si>
  <si>
    <t>https://link.springer.com/article/10.1007/s41060-025-00776-1</t>
  </si>
  <si>
    <t>https://openaccess.thecvf.com/content/CVPR2024W/ABAW/html/Hallmen_Unimodal_Multi-Task_Fusion_for_Emotional_Mimicry_Intensity_Prediction_CVPRW_2024_paper.html</t>
  </si>
  <si>
    <t>https://openaccess.thecvf.com/content/CVPR2024W/ABAW/papers/Hallmen_Unimodal_Multi-Task_Fusion_for_Emotional_Mimicry_Intensity_Prediction_CVPRW_2024_paper.pdf</t>
  </si>
  <si>
    <t>https://www.nature.com/articles/s41598-025-03979-5</t>
  </si>
  <si>
    <t>https://www.nature.com/articles/s41598-025-03979-5.pdf</t>
  </si>
  <si>
    <t>https://heinonline.org/hol-cgi-bin/get_pdf.cgi?handle=hein.journals/stfdcmp4&amp;section=3</t>
  </si>
  <si>
    <t>https://law.stanford.edu/wp-content/uploads/2024/05/gugler-szucs-wohak.pdf</t>
  </si>
  <si>
    <t>https://www.tandfonline.com/doi/abs/10.1080/03081079.2023.2294132</t>
  </si>
  <si>
    <t>https://link.springer.com/article/10.1007/s41060-025-00728-9</t>
  </si>
  <si>
    <t>https://link.springer.com/article/10.1007/s41060-025-00860-6</t>
  </si>
  <si>
    <t>https://link.springer.com/article/10.1007/s41060-025-00845-5</t>
  </si>
  <si>
    <t>https://eric.ed.gov/?id=EJ1456266</t>
  </si>
  <si>
    <t>https://files.eric.ed.gov/fulltext/EJ1456266.pdf</t>
  </si>
  <si>
    <t>https://arxiv.org/abs/2507.14578</t>
  </si>
  <si>
    <t>https://arxiv.org/pdf/2507.14578</t>
  </si>
  <si>
    <t>https://www.sciencedirect.com/science/article/pii/S0957417423003639</t>
  </si>
  <si>
    <t>https://www.sciencedirect.com/science/article/pii/S2215016124002966</t>
  </si>
  <si>
    <t>https://www.mdpi.com/1099-4300/25/5/794</t>
  </si>
  <si>
    <t>https://www.mdpi.com/2673-4591/46/1/5</t>
  </si>
  <si>
    <t>https://www.mdpi.com/2227-7080/13/8/340</t>
  </si>
  <si>
    <t>https://www.mdpi.com/2076-3417/14/16/7305</t>
  </si>
  <si>
    <t>https://www.mdpi.com/2076-3417/14/19/8887</t>
  </si>
  <si>
    <t>https://www.mdpi.com/2078-2489/16/1/39</t>
  </si>
  <si>
    <t>https://www.mdpi.com/2227-7390/11/19/4104</t>
  </si>
  <si>
    <t>https://www.mdpi.com/1424-8220/23/22/9287</t>
  </si>
  <si>
    <t>https://www.mdpi.com/2071-1050/16/24/11252</t>
  </si>
  <si>
    <t>https://www.sciencedirect.com/science/article/pii/S0893608023005361</t>
  </si>
  <si>
    <t>https://www.mdpi.com/2504-2289/7/1/45</t>
  </si>
  <si>
    <t>https://www.mdpi.com/2076-3417/14/21/9795</t>
  </si>
  <si>
    <t>https://www.mdpi.com/2073-431X/12/7/137</t>
  </si>
  <si>
    <t>https://pmc.ncbi.nlm.nih.gov/articles/PMC12047991/</t>
  </si>
  <si>
    <t>https://medinform.jmir.org/2024/1/e54653/</t>
  </si>
  <si>
    <t>https://intapi.sciendo.com/pdf/10.34768/amcs-2023-0043</t>
  </si>
  <si>
    <t>['Classic Methods', 'Comparison of methods', 'Literature Reviews']</t>
  </si>
  <si>
    <t>https://iris.unibocconi.it/bitstream/11565/4062184/1/2023.findings-eacl.116.pdf</t>
  </si>
  <si>
    <t>https://pdfs.semanticscholar.org/1694/86d57454890798a17e92adb7048add5efed5.pdf</t>
  </si>
  <si>
    <t>https://vital.lib.tsu.ru/vital/access/services/Download/koha:001146787/SOURCE1</t>
  </si>
  <si>
    <t>https://assets.pubpub.org/p41eo02p/119-01746737674155.pdf</t>
  </si>
  <si>
    <t>https://virtusinterpress.org/IMG/pdf/cgobrv8i1p4.pdf</t>
  </si>
  <si>
    <t>http://www.icicel.org/ell/contents/2023/3/el-17-03-01.pdf</t>
  </si>
  <si>
    <t>https://aclanthology.org/2024.semeval-1.65/</t>
  </si>
  <si>
    <t>https://aclanthology.org/2024.semeval-1.65.pdf</t>
  </si>
  <si>
    <t>Identificação</t>
  </si>
  <si>
    <t>ID</t>
  </si>
  <si>
    <t>Código do artigo (ex: A01, A02).</t>
  </si>
  <si>
    <t>Ano de publicação (filtro: $\geq$ 2023).</t>
  </si>
  <si>
    <t>Nome completo do trabalho.</t>
  </si>
  <si>
    <t>Google Scholar ou IJDSA.</t>
  </si>
  <si>
    <t>URL</t>
  </si>
  <si>
    <t>Nacionalidade Autores</t>
  </si>
  <si>
    <t>Revista</t>
  </si>
  <si>
    <t>Idioma Dataset</t>
  </si>
  <si>
    <t>Domínio</t>
  </si>
  <si>
    <t>Target</t>
  </si>
  <si>
    <t>Embeddings</t>
  </si>
  <si>
    <t>Estratégia</t>
  </si>
  <si>
    <t>Tunning</t>
  </si>
  <si>
    <t>Classe modelo</t>
  </si>
  <si>
    <t>Tamanho Dataset</t>
  </si>
  <si>
    <t>Métricas</t>
  </si>
  <si>
    <t>Vantagens</t>
  </si>
  <si>
    <t>Limitações</t>
  </si>
  <si>
    <t>Contribuições</t>
  </si>
  <si>
    <t>Ganho Relativo ao Baseline</t>
  </si>
  <si>
    <t>Italy</t>
  </si>
  <si>
    <t>Association for Computing Machinery</t>
  </si>
  <si>
    <t>English, Italian</t>
  </si>
  <si>
    <t>Psychology</t>
  </si>
  <si>
    <t>VAD</t>
  </si>
  <si>
    <t>Contextual</t>
  </si>
  <si>
    <t>Sentence</t>
  </si>
  <si>
    <t>Fine-Tuning</t>
  </si>
  <si>
    <t>Deep Learning &amp; Neural Networks</t>
  </si>
  <si>
    <t>"10548", "10062"</t>
  </si>
  <si>
    <t>Pearson Correlation</t>
  </si>
  <si>
    <t>Does not require an exclusive dataset, Better metrics</t>
  </si>
  <si>
    <t>Transparency</t>
  </si>
  <si>
    <t>Methodological Application, Fine-tuning</t>
  </si>
  <si>
    <t>Greece, Sweeden, Switzerland, Italy</t>
  </si>
  <si>
    <t>Association for Computational Linguistics</t>
  </si>
  <si>
    <t>Greek</t>
  </si>
  <si>
    <t>Palaeography</t>
  </si>
  <si>
    <t>Century of document</t>
  </si>
  <si>
    <t>Classical</t>
  </si>
  <si>
    <t>Token, Sentence</t>
  </si>
  <si>
    <t>Linear &amp; Statistical Models, Tree-Based &amp; Ensemble Models</t>
  </si>
  <si>
    <t>"389"</t>
  </si>
  <si>
    <t>MAE, MSE, R²</t>
  </si>
  <si>
    <t>Human effort reduction, Novel Use Case</t>
  </si>
  <si>
    <t>Data loss, Data Quality, Data Availability</t>
  </si>
  <si>
    <t>Dataset/Resource, Methodological Application</t>
  </si>
  <si>
    <t>Iran</t>
  </si>
  <si>
    <t>Springer Soft Computing</t>
  </si>
  <si>
    <t>English</t>
  </si>
  <si>
    <t>Finance</t>
  </si>
  <si>
    <t>Bitcoin Closing Price of Next Day</t>
  </si>
  <si>
    <t>Hybrid</t>
  </si>
  <si>
    <t>Token, Document</t>
  </si>
  <si>
    <t>Deep Learning &amp; Neural Networks, Deep Learning (Sequential, Recurrent, &amp; Attention)</t>
  </si>
  <si>
    <t>"1200000"</t>
  </si>
  <si>
    <t>R², MSE, RMSE, MedAE</t>
  </si>
  <si>
    <t>Better metrics</t>
  </si>
  <si>
    <t>Lack of benchmarks, Lack of transparency</t>
  </si>
  <si>
    <t>Multimodal Integration</t>
  </si>
  <si>
    <t>Bangladesh</t>
  </si>
  <si>
    <t>Political Science</t>
  </si>
  <si>
    <t>Fatality Count</t>
  </si>
  <si>
    <t>Token</t>
  </si>
  <si>
    <t>"13383"</t>
  </si>
  <si>
    <t>R², MSE, RMSE</t>
  </si>
  <si>
    <t>Captures relational dependencies, Performs well with reduced features or sparse data</t>
  </si>
  <si>
    <t>Computational Complexity, Sensibility to Biases, Data Dimensionality</t>
  </si>
  <si>
    <t>Methodological Application</t>
  </si>
  <si>
    <t>The model with 93% R² is in a distinct setup | Only gives R² for final model</t>
  </si>
  <si>
    <t>United States</t>
  </si>
  <si>
    <t>American Political Science Review</t>
  </si>
  <si>
    <t>Embedding Vector</t>
  </si>
  <si>
    <t>Frozen</t>
  </si>
  <si>
    <t>Linear &amp; Statistical Models</t>
  </si>
  <si>
    <t>"400", "71"</t>
  </si>
  <si>
    <t>Cluster Homogeneity, Cosine Similarity, Coefficient Norm</t>
  </si>
  <si>
    <t>Sample Efficiency, Speed, Transparency</t>
  </si>
  <si>
    <t>Assumption of Stability, Data Availability, Pretraining Dependence</t>
  </si>
  <si>
    <t>New Framework, Domain Insight</t>
  </si>
  <si>
    <t>Egypt</t>
  </si>
  <si>
    <t>Intelligent Methods, Systems, and Applications (IMSA)</t>
  </si>
  <si>
    <t>Natural Language Processing</t>
  </si>
  <si>
    <t>Relatedness Score</t>
  </si>
  <si>
    <t>Linear &amp; Statistical Models, Tree-Based &amp; Ensemble Models, Deep Learning &amp; Neural Networks, Instance-Based &amp; Kernel Methods</t>
  </si>
  <si>
    <t>"9840"</t>
  </si>
  <si>
    <t>Pearson Correlation, Spearman Correlation, MSE</t>
  </si>
  <si>
    <t>Better metrics, Generalize Better</t>
  </si>
  <si>
    <t>Lack of transparency, Computational Complexity</t>
  </si>
  <si>
    <t>Feature Engineering</t>
  </si>
  <si>
    <t>Vietnam</t>
  </si>
  <si>
    <t>Statistics, Optimization &amp; Information Computing</t>
  </si>
  <si>
    <t>Bibliometrics</t>
  </si>
  <si>
    <t>Paper Citation Count</t>
  </si>
  <si>
    <t>Dense</t>
  </si>
  <si>
    <t>Linear &amp; Statistical Models, Tree-Based &amp; Ensemble Models, Deep Learning &amp; Neural Networks, Deep Learning (Sequential, Recurrent, &amp; Attention)</t>
  </si>
  <si>
    <t>"1296"</t>
  </si>
  <si>
    <t>RMSE</t>
  </si>
  <si>
    <t>Better Metrics</t>
  </si>
  <si>
    <t>Sensibility to Biases, Computational Complexity, Data Availability</t>
  </si>
  <si>
    <t>India, Cyprus</t>
  </si>
  <si>
    <t>English, Hinglish</t>
  </si>
  <si>
    <t>Social Media</t>
  </si>
  <si>
    <t>Sentiment Intensity</t>
  </si>
  <si>
    <t>Lexicon / Rule-Based Models</t>
  </si>
  <si>
    <t>"32800"</t>
  </si>
  <si>
    <t>Transparency, Speed, Handles slang/emojis/informal text better</t>
  </si>
  <si>
    <t>Sensibility to Biases, Necessity of Manual Tunning</t>
  </si>
  <si>
    <t>Feature Engineering, New Pipeline</t>
  </si>
  <si>
    <t>No baseline for comparsion in regression</t>
  </si>
  <si>
    <t>Japan</t>
  </si>
  <si>
    <t>Next day's closing price</t>
  </si>
  <si>
    <t>Document</t>
  </si>
  <si>
    <t>"24000"</t>
  </si>
  <si>
    <t>MSE</t>
  </si>
  <si>
    <t>Captures relational dependencies, Handle Missings</t>
  </si>
  <si>
    <t>Data Availability, Sensibility to Biases, Necessity of Manual Tunning</t>
  </si>
  <si>
    <t>New Architecture, Multimodal Integration</t>
  </si>
  <si>
    <t>Mean for individual results</t>
  </si>
  <si>
    <t>Companie's Key Financial Indicators</t>
  </si>
  <si>
    <t>Traditional Time Series &amp; Econometrics, Deep Learning (Sequential, Recurrent, &amp; Attention)</t>
  </si>
  <si>
    <t>"778669"</t>
  </si>
  <si>
    <t>MAPE</t>
  </si>
  <si>
    <t>Better metrics, Adaptability, Problem Independent, Transparency</t>
  </si>
  <si>
    <t>Reliability on Data Quality, Model Can be Optimized, Not Tested on Broader Environmentes</t>
  </si>
  <si>
    <t>Exploratory Analysis</t>
  </si>
  <si>
    <t>India</t>
  </si>
  <si>
    <t>Linear &amp; Statistical Models, Tree-Based &amp; Ensemble Models, Deep Learning (Sequential, Recurrent, &amp; Attention), Traditional Time Series &amp; Econometrics</t>
  </si>
  <si>
    <t>"1250"</t>
  </si>
  <si>
    <t>R², RMSE, MAE, MSE, Tolerance-Based Accuracy</t>
  </si>
  <si>
    <t>Adaptability, Generalization, Better metrics, Transparency</t>
  </si>
  <si>
    <t>Computational Complexity, Reliability on Data Quality, Complex Design</t>
  </si>
  <si>
    <t>New Framework, Multimodal Integration</t>
  </si>
  <si>
    <t>Brazil</t>
  </si>
  <si>
    <t>PeerJ Computer Science</t>
  </si>
  <si>
    <t>Brazilian Portuguese</t>
  </si>
  <si>
    <t>Legal</t>
  </si>
  <si>
    <t>Monetary value of compensation for immaterial damage</t>
  </si>
  <si>
    <t>"928"</t>
  </si>
  <si>
    <t>R², RMSE, MAE</t>
  </si>
  <si>
    <t>Human effort reduction, Better metrics, Novel Use Case</t>
  </si>
  <si>
    <t>Small Dataset Size</t>
  </si>
  <si>
    <t>New Framework, Feature Engineering</t>
  </si>
  <si>
    <t>Germany</t>
  </si>
  <si>
    <t>arXiv Preprint</t>
  </si>
  <si>
    <t>Geoscience</t>
  </si>
  <si>
    <t>Continuous geophysical/environmental variables</t>
  </si>
  <si>
    <t>N/A</t>
  </si>
  <si>
    <t>Transparency, Better Reasoning</t>
  </si>
  <si>
    <t>Lack of Benchmarks, Cumulative Error Accumulation, Conflict Between Discrete and Continuous Representations</t>
  </si>
  <si>
    <t>Bulgaria, Germany</t>
  </si>
  <si>
    <t>Advances in Information and Communication</t>
  </si>
  <si>
    <t>China</t>
  </si>
  <si>
    <t>Journal of Forecasting</t>
  </si>
  <si>
    <t>Chinese</t>
  </si>
  <si>
    <t>Soybean Futures Price</t>
  </si>
  <si>
    <t>Deep Learning (Sequential, Recurrent, &amp; Attention)</t>
  </si>
  <si>
    <t>"795"</t>
  </si>
  <si>
    <t>MSE, RMSE, MAE, MAPE, SMAPE</t>
  </si>
  <si>
    <t>Data Scope</t>
  </si>
  <si>
    <t>New Architecture</t>
  </si>
  <si>
    <t>TSH-LSTM against best for each metric</t>
  </si>
  <si>
    <t>ICCK Transactions on Emerging Topics in Artificial Intelligence</t>
  </si>
  <si>
    <t>Energy</t>
  </si>
  <si>
    <t>Renewable electricity generation/supply</t>
  </si>
  <si>
    <t>"11342"</t>
  </si>
  <si>
    <t>RMSE, MAPE, Dstat</t>
  </si>
  <si>
    <t>Better metrics, Handle nonlinear and dynamic factors</t>
  </si>
  <si>
    <t>Transparency, Computational Complexity, Sensibility to Biases, Data Quality</t>
  </si>
  <si>
    <t>United Arab Emirates</t>
  </si>
  <si>
    <t>IEEE Access</t>
  </si>
  <si>
    <t>English (Inferred from dataset sources like Amazon/Yelp/Boston/UCI).</t>
  </si>
  <si>
    <t>Multidisciplinary</t>
  </si>
  <si>
    <t>Sentiment scores (reviews), Median home value (housing), Heating/Cooling loads (energy).</t>
  </si>
  <si>
    <t>NA</t>
  </si>
  <si>
    <t>"2000000", "8000000", "506", "768"</t>
  </si>
  <si>
    <t>Better Metrics, Handle Multicolinearity</t>
  </si>
  <si>
    <t>Systematic Evaluation</t>
  </si>
  <si>
    <t>Expert Systems</t>
  </si>
  <si>
    <t>Company ROA</t>
  </si>
  <si>
    <t>"594"</t>
  </si>
  <si>
    <t>MAE, Spearman Correlation</t>
  </si>
  <si>
    <t>Novel Use Case, Captures Dynamic Semantic Changes</t>
  </si>
  <si>
    <t>Reliability on Data Quality</t>
  </si>
  <si>
    <t>Hong Kong</t>
  </si>
  <si>
    <t xml:space="preserve">Journal of Management Information Systems </t>
  </si>
  <si>
    <t>Excess stock return, Future earnings, Fraud indicator</t>
  </si>
  <si>
    <t>Frozen (Embeddings trained yearly on corpus, then used to calculate static intensity scores for regression)</t>
  </si>
  <si>
    <t>"199176", "194928"; "6372781"</t>
  </si>
  <si>
    <t>Adjusted R², Pseudo R², Coefficients, t-statistics</t>
  </si>
  <si>
    <t>Captures Dynamic Semantic Changes, Combines Human Domain Knowledge with Machine Learning, Transparency, Better Metrics</t>
  </si>
  <si>
    <t>Ignores Data Dependence, Data Scope</t>
  </si>
  <si>
    <t>International Journal of General Systems</t>
  </si>
  <si>
    <t>Türkiye, Australia</t>
  </si>
  <si>
    <t>Applied Sciences</t>
  </si>
  <si>
    <t>IT</t>
  </si>
  <si>
    <t>Story Points of Issue Task</t>
  </si>
  <si>
    <t>Documents</t>
  </si>
  <si>
    <t>Tree-Based &amp; Ensemble Models</t>
  </si>
  <si>
    <t>"31960"</t>
  </si>
  <si>
    <t>MAE, MdAE, SA</t>
  </si>
  <si>
    <t>Data Scope, Model Can be Optimized</t>
  </si>
  <si>
    <t>Methodological Application, Feature Engineering</t>
  </si>
  <si>
    <t>On MAE (pg. 3)</t>
  </si>
  <si>
    <t>Czech Republic</t>
  </si>
  <si>
    <t>Mathematics</t>
  </si>
  <si>
    <t>Item Dificulty</t>
  </si>
  <si>
    <t>Token (Lemmatized Word)</t>
  </si>
  <si>
    <t>"40"</t>
  </si>
  <si>
    <t>Better metrics, Mathematical Rigor</t>
  </si>
  <si>
    <t>Small dataset, Conflict Between Discrete and Continuous Representations</t>
  </si>
  <si>
    <t>RMSE against domain experts</t>
  </si>
  <si>
    <t>NLM Preprint</t>
  </si>
  <si>
    <t>Sadness, Anger, Nervousness</t>
  </si>
  <si>
    <t>"7680"</t>
  </si>
  <si>
    <t>R², RMSE</t>
  </si>
  <si>
    <t>Modest Overall Predictive Accuracy, Necessity of Large Datasets, Transparency, Data Scope</t>
  </si>
  <si>
    <t>Methodological Application, Domain Insight</t>
  </si>
  <si>
    <t>Random Forest against Elastic Net</t>
  </si>
  <si>
    <t>Canada, Iran</t>
  </si>
  <si>
    <t>The 38th Canadian Conference on Artificial Intelligence</t>
  </si>
  <si>
    <t>Sentence, Document</t>
  </si>
  <si>
    <t>Linear &amp; Statistical Models, Deep Learning (Sequential, Recurrent, &amp; Attention)</t>
  </si>
  <si>
    <t>"7872"</t>
  </si>
  <si>
    <t>Better metrics, Use of AoE embeddings</t>
  </si>
  <si>
    <t>Non-stationarity, Sensibility to Biases</t>
  </si>
  <si>
    <t>In test</t>
  </si>
  <si>
    <t>Thailand</t>
  </si>
  <si>
    <t>ICIC Express Letters</t>
  </si>
  <si>
    <t>Industrial</t>
  </si>
  <si>
    <t>Plastic Resin Price</t>
  </si>
  <si>
    <t>Traditional Time Series &amp; Econometrics</t>
  </si>
  <si>
    <t>"371"</t>
  </si>
  <si>
    <t>RMSE, Test Loss</t>
  </si>
  <si>
    <t>Small Dataset Size, Data Quality</t>
  </si>
  <si>
    <t>Doesn't have baselines</t>
  </si>
  <si>
    <t>Mexico</t>
  </si>
  <si>
    <t>Algerian Arabic, Amharic, Hausa, Kinyarwanda, Moroccan Arabic, Marathi, Telugu, Spanish, and English</t>
  </si>
  <si>
    <t>Semantic Relatedness Score</t>
  </si>
  <si>
    <t>"7795"</t>
  </si>
  <si>
    <t>Spearman correlation</t>
  </si>
  <si>
    <t>Linguistic Ambiguities, Cultural Nuances, Data Availability</t>
  </si>
  <si>
    <t>Abstract</t>
  </si>
  <si>
    <t>Regression models of natural language content are widely popular in many applications, such as sentiment analysis, stance detection and emotion detection. The multidimensional Russell and Mehrabian’s Valence-Arousal-Dominance (VAD) model has been universally recognized as a valuable tool for describing emotional content. Standard methods for VAD prediction learn the relation between natural language text and VAD values by fine-tuning a pre-trained machine learning model based on Transformers (e.g. BERT) on a corpus of natural language sentences manually annotated with VAD. We investigate the potential of employing effective prompting, a technique previously proven to be advantageous in classification and other natural language processing (NLP) tasks, to enhance the VAD prediction process. Our findings reveal that with appropriate prompting, we can leverage the knowledge acquired during pre-training to improve regression performance, showcasing the benefits of this approach for VAD prediction.</t>
  </si>
  <si>
    <t xml:space="preserve">Dating Greek papyri accurately is crucial not only to edit their texts but also to understand numerous other aspects of ancient writing, document and book production and circulation, as well as various other aspects of administration, everyday life and intellectual history of antiquity. Although a substantial number of Greek papyri documents bear a date or other conclusive data as to their chronological placement, an even larger number can only be dated tentatively or in approximation, due to the lack of decisive evidence. By creating a dataset of 389 transcriptions of documentary Greek papyri, we train 389 regression models and we predict a date for the papyri with an average MAE of 54 years and an MSE of 1.17, outperforming image classifiers and other baselines. Last, we release date estimations for 159 manuscripts, for which only the upper limit is known.
</t>
  </si>
  <si>
    <t>Nowadays, the issue of fluctuations in the price of digital Bitcoin currency has a striking impact on the profit or loss of people, international relations, and trade. Accordingly, designing a model that can take into account the various significant factors for predicting the Bitcoin price with the highest accuracy is essential. Hence, the current paper uses market sentiment and multiple feature extraction to present several Bitcoin price prediction models based on convolutional neural network and long short-term memory. In the proposed models, several parameters, including Twitter data, news headlines, news content, Google Trends, Bitcoin-based stock, and finance, are employed based on deep learning to make a more accurate prediction. Such parameters are the input data used to predict the Bitcoin price. Besides, the proposed model analyzes the Valence Aware Dictionary and Sentiment Reasoner sentiments to examine the market’s latest news and cryptocurrencies. According to this study’s various inputs and analyses, several effective feature selection methods, including mutual information regression, linear regression, correlation-based, and a combination of the feature selection models, are exploited to predict the price of Bitcoin. Finally, a careful comparison is made between the proposed models in terms of some performance criteria like mean square error (MSE), root-mean-square error, mean absolute error, median absolute error, and coefficient of determination (R2). The obtained results indicate that the proposed hybrid model based on sentiments analysis and combined feature selection with MSE value of 0.001 and R2 value of 0.98 provides better estimations with more minor errors regarding Bitcoin price. This proposed model can also be employed as an individual assistant for more informed trading decisions associated with Bitcoin.</t>
  </si>
  <si>
    <t>Determining fatality rates—a critical component of conflict analysis and comprehending the dynamics of armed conflict in Bangladesh are the main goals of this study. The contributions of this paper are twofold. Firstly, this paper presents the performance of graph neural networks (GNNs) is measured against traditional machine learning (ML) algorithms, specifically artificial neural networks (ANNs), for fatality prediction. Secondly, it has presented an empirical analysis of graph-based clustering and traditional clustering methods for modeling armed conflicts in Bangladesh. Predictive fatality models have been developed using graph neural networks and traditional machine learning algorithms. Graph neural networks exploit the graph structure of the data, allowing for more effective modeling and prediction. Traditional machine learning algorithms, and artificial neural networks, serve as benchmarks for comparison. The results indicate that graph-based clustering methods provide valuable insights into the structure and dynamics of armed conflicts in Bangladesh. The comparative analysis demonstrates that graph neural networks outperform a few traditional machine learning algorithms in terms of predictive fatality, highlighting the importance of capturing the relational dependencies present in the data. Graph-based clustering techniques offer an innovative approach by capturing the inherent relational structure of conflicting data, whereas traditional clustering methods rely on traditional feature engineering and distance metrics. A comprehensive dataset from ACLED for armed conflict incidents in Bangladesh was used to evaluate the performance. Both graph-based and traditional clustering methods were applied to identify meaningful clusters and analyze the patterns of armed conflict. An additional contribution has been made through the construction and analysis of a knowledge graph, elucidating the interconnected relationships among various datasets. In conclusion, this research contributes to the field of conflict analysis by showcasing the advantages of graph-based clustering methods and graph neural networks for understanding armed conflict patterns and predicting fatality rates.</t>
  </si>
  <si>
    <t>Social scientists commonly seek to make statements about how word use varies over circumstances—including time, partisan identity, or some other document-level covariate. For example, researchers might wish to know how Republicans and Democrats diverge in their understanding of the term “immigration.” Building on the success of pretrained language models, we introduce the à la carte on text (conText) embedding regression model for this purpose. This fast and simple method produces valid vector representations of how words are used—and thus what words “mean”—in different contexts. We show that it outperforms slower, more complicated alternatives and works well even with very few documents. The model also allows for hypothesis testing and statements about statistical significance. We demonstrate that it can be used for a broad range of important tasks, including understanding US polarization, historical legislative development, and sentiment detection. We provide open-source software for fitting the model.</t>
  </si>
  <si>
    <t xml:space="preserve">In natural language processing (NLP), accurately calculating relatedness scores between pairs of sentences has significant implications for various tasks, such as information retrieval and document clustering. To improve relatedness score calculation, this study employed a two-layered approach. Firstly, embedding similarity techniques were utilized, leveraging seven different transformers to obtain vectors for each pair of sentences. Secondly, a classical machine learning regressor was trained on these seven vectors. The combination of these methods resulted in state-of-the-art performance on a standard dataset named SICK, with a mean square error of 0.0481, and Pearson’s and Spearman’s correlations of 0.978 and 0.9696, respectively. This research highlights the potential of combining embedding similarity techniques with machine learning methods to enhance relatedness score assessment and other NLP tasks, ultimately contributing to the advancement of NLP algorithms and their applications.
</t>
  </si>
  <si>
    <t xml:space="preserve">Forecasting the citation counts of scientific papers is a challenging task, particularly when utilizing textual data such as author names, paper titles, abstracts, and affiliations. This task diverges from conventional regression problems involving numerical or categorical inputs, as it demands the processing of complex, high-dimensional text features. Traditional regression techniques, including Linear Regression, Polynomial Regression, and Decision Tree Regression, often fail to encapsulate the semantic intricacies of textual data and are susceptible to overfitting due to the expansive feature space. In the context of Vietnam, where research output is rapidly growing yet underexplored in predictive modeling, these limitations are especially pronounced. To tackle these issues, we leverage advanced Natural Language Processing (NLP) techniques, employing Long Short-Term Memory (LSTM) and Gated Recurrent Unit (GRU) networks. These deep learning models are adept at handling sequential data, capturing long-range dependencies, and preserving contextual nuances, rendering them well-suited for text-based citation prediction. We conducted experiments using a dataset of academicpapers authored by Vietnamese researchers across diverse disciplines, sourced from publications featuring Vietnamese author contributions. The dataset includes features such as author names, titles, abstracts, and affiliations, reflecting the unique characteristics of Vietnam’s research landscape. We compared the performance of LSTM and GRU models against traditional machine learning approaches, evaluating prediction accuracy with metrics like Mean Absolute Error (MAE) and Root Mean Squared Error (RMSE). The results reveal that LSTM and GRU models substantially outperform their traditional counterparts. The LSTM model achieved an RMSE of 8.54 and an MAE of 8.1, while the GRU model yielded an RMSE of 8.32 and an MAE of 7.83, demonstrating robust predictive capabilities. In contrast, traditional models such as Decision Tree Regression and Linear Regression exhibited higher error rates, with RMSEs exceeding 12.0. These findings underscore the efficacy of deep learning in forecasting citation counts from textual data, particularly for Vietnamese research outputs, and highlight the potential of LSTM and GRU models to uncover intricate patterns driving scientific impact in emerging research ecosystems.
</t>
  </si>
  <si>
    <t>Manually gaging public sentiment in the millions of informal, multilingual comments posted on social media vlogs is infeasible, and existing models often falter on slang, code-switching, emojis, and rapid shifts in tone. To address this challenge, we compile a 36 000-comment corpus drawn from India’s most-viewed channels on YouTube, Twitter (X), TikTok, Reddit, Instagram, and Facebook, then build an end-to-end Python NLP pipeline that blends deep learning–based preprocessing (tokenization, misspelling correction, code-mix detection) with an enhanced version of VADER (Valence Aware Dictionary for Sentiment Reasoning). The lexicon is augmented with 276 domain-specific slang terms and emojis, and custom rules capture sarcasm, negation, and intensity cues. The upgraded VADER attains an F1-score of 1.00 on the in-sample corpus and 0.92 on an external hold-out set, surpassing fine-tuned BERT (F1 = 0.94) and zero-shot GPT
3.5 (F1 = 0.91). Regression metrics (MAE = 1.4, MSE = 3.1, 
) confirm precise sentiment intensity estimation, while temporal analysis reveals highly polarized reactions within the first 24 h that converge toward neutrality over time. Content-type analysis shows strong positivity for technology and fashion vlogs (51–57%) but 61% disapproval for travel content. Overall, the framework generalizes across comedic, scientific, and satirical contexts (36.8% positive, 57.3% neutral) and offers a transparent, scalable solution for real-time sentiment monitoring in multilingual social media environments</t>
  </si>
  <si>
    <t>In real-world financial markets, a company’s stock performance is often influenced by its competitors, partners, and other connected firms. However, traditional sentiment-based approaches typically focus only on the target company’s sentiment, overlooking the broader network of influence. To address this limitation, this paper proposes a Dual Transformer architecture that integrates sentiment signals from connected companies to enhance prediction accuracy. This approach aims to bridge a critical gap in financial sentiment analysis by capturing inter-company relationships and their impact on stock price movements. The Dual Transformer comprises two transformer structures, the Enhancement Transformer and the Forecast Transformer. The Enhancement Transformer is used to enhance the correlation strengths between related companies, while the Forecast Transformer is used for stock price forecasting. Eight companies from various industries and financial markets are selected for analysis. The model utilizes the polarity scores of these related companies, combined with historical closing prices from 2015 to 2024, to forecast the next day’s closing price. Prediction performance is evaluated using the mean squared error (MSE). Experimental results demonstrate that incorporating the news sentiment of related companies improves the prediction of the target company’s stock price when using the proposed Dual Transformer model. In addition, the Dual Transformer model can outperform existing models such as Temporal Fusion Transformer, N-Beats, Informer, and LSTM by achieving consistently lower MSE values across all eight companies.</t>
  </si>
  <si>
    <t>In this paper, we show textual data from firm-related events in news articles can effectively predict various firm financial ratios, with or without historical financial ratios. We exploit state-of-the-art neural architectures, including pseudo-event embeddings, Long Short-Term Memory Networks, and attention mechanisms. Our news-powered deep learning models are shown to outperform standard econometric models operating on precise accounting historical data. We also observe forecasting quality improvement when integrating textual and numerical data streams. In addition, we provide in-depth case studies for model explainability and transparency. Our forecasting models, model attention maps, and firm embeddings benefit various stakeholders with quality predictions and explainable insights. Our proposed models can be applied both when numerically historical data is or is not available</t>
  </si>
  <si>
    <t>SentiVol-GA is an evolvable hybrid framework for stock price forecasting. This model integrates statistical models, deep learning architectures, financial sentiment analysis, and volatility-aware optimization through a Genetic Algorithm (GA). This framework combines five predictive models—Linear Regression, LSTM, GRU, Bi-LSTM, and ARIMA—with sentiment signals extracted from FinBERT, VADER, and the Loughran–McDonald dictionary. Its core innovation lies in a volatility-scaling mechanism that adjusts sentiment impact during turbulent periods, while the GA periodically optimizes model and sentiment weights to minimize forecasting error thus sustaining the model’s predictive stability. This empirical evaluation across eight Indian IT-sector stocks—covering large, mid- and small-cap segments, demonstrates up to 12% improvement in R2, 30–60% reduction in RMSE, and 20–35% gain in tolerance-based accuracy over classical and deep-learning baselines. Nonparametric Friedman and Wilcoxon tests (p &lt; 0.05) confirm that these performance gains are statistically significant. SentiVol-GA offers a volatility-aware, sentiment-driven, and dynamically optimized approach that is scalable, interpretable, and robust for intelligent financial decision-making.</t>
  </si>
  <si>
    <t>Immaterial damage compensation is a controversial matter in the judicial practice of several law systems. Due to a lack of criteria for its assessment, the judge is free to establish the value based on his/her conviction. Our research motivation is that knowing the estimated amount of immaterial damage compensation at the initial stage of a lawsuit can encourage an agreement between the parties. We thus investigate text regression techniques to predict the compensation value from legal judgments in which consumers had problems with airlines and claim for immaterial damage. We start from a simple pipeline and create others by adding some natural language processing (NLP) and machine learning (ML) techniques, which we call adjustments. The adjustments include N-Grams Extraction, Feature Selection, Overfitting Avoidance, Cross-Validation and Outliers Removal. An special adjustment, Addition of Attributes Extracted by the Legal Expert (AELE), is proposed as a complementary input to the case text. We evaluate the impact of adding these adjustments in the pipeline in terms of prediction quality and execution time. N-Grams Extraction and Addition of AELE have the biggest impact on the prediction quality. In terms of execution time, Feature Selection and Overfitting Avoidance have significant importance. Moreover, we notice the existence of pipelines with subsets of adjustments that achieved better prediction quality than a pipeline with them all. The result is promising since the prediction error of the best pipeline is acceptable in the legal environment. Consequently, the predictions will likely be helpful in a legal environment.</t>
  </si>
  <si>
    <t>Earth Observation (EO) data encompass a vast range of remotely sensed information, featuring multi-sensor and multi-temporal, playing an indispensable role in understanding our planet's dynamics. Recently, Vision Language Models (VLMs) have achieved remarkable success in perception and reasoning tasks, bringing new insights and opportunities to the EO field. However, the potential for EO applications, especially for scientific regression related applications remains largely unexplored. This paper bridges that gap by systematically examining the challenges and opportunities of adapting VLMs for EO regression tasks. The discussion first contrasts the distinctive properties of EO data with conventional computer vision datasets, then identifies four core obstacles in applying VLMs to EO regression: 1) the absence of dedicated benchmarks, 2) the discrete-versus-continuous representation mismatch, 3) cumulative error accumulation, and 4) the suboptimal nature of text-centric training objectives for numerical tasks. Next, a series of methodological insights and potential subtle pitfalls are explored. Lastly, we offer some promising future directions for designing robust, domain-aware solutions. Our findings highlight the promise of VLMs for scientific regression in EO, setting the stage for more precise and interpretable modeling of critical environmental processes.</t>
  </si>
  <si>
    <t>In this paper, we aim to explore text data analysis with the help of different methods to vectorize the data and carry out regression methods. At present, we have a lot of text categorization techniques, but very few algorithms are dedicated to text regression. But many regression models predict only a single estimated value. However, it’s more efficient to predict a numerical range than a single estimate, since we can be more sure that the true value will be within the range rather than considering the estimated value as the true value. We aim to combine both these techniques in this paper. The goal of this paper is to collect text data, clean the data, and create a text regression model to find the best-suited algorithm that could be used in any situation, through the use of quantile regression.</t>
  </si>
  <si>
    <t>This paper investigates the soybean futures price prediction problem from a new perspective and proposes an effective prediction model named Two-Stage Hybrid Long Short-Term Memory (TSH-LSTM) by using text data from social media. First, the unstructured text is transformed into structured data by sentiment analysis and text classification methods. The improved sentiment score is computed by combining the degree centrality of sentiment words based on the sentiment dictionary method, and the characteristics of price fluctuations in texts are learned through the text Recurrent Convolutional Neural Networks. Second, the significant relationship between social media features and soybean futures price is assessed through stepwise regression, and the results of such an assessment are used as a basis for the identification of significant factors as input variables of the prediction model. Finally, the TSH-LSTM prediction model is designed, and the final prediction result is acquired through the combination of prediction results of each stage using the error reciprocal method. The empirical results indicate that the incorporation of the social media text feature helps improve forecasting performances. Specifically, the proposed TSH-LSTM is more accurate than univariate LSTM, multivariate LSTM, and eXtreme Gradient Boosting.</t>
  </si>
  <si>
    <t>With the increasing global focus on renewable energy and the growing proportion of renewable power in the energy mix, accurate forecasting of renewable power demand has become crucial. This study addresses this challenge by proposing a multimodal information fusion approach that integrates time series data and textual data to leverage complementary information from heterogeneous sources. We develop a hybrid predictive model combining CNN and Bi-GRU architectures. First, time series data (e.g., historical power generation) and textual data (e.g., policy documents) are preprocessed through normalization and tokenization. Next, CNNs extract spatial features from both data modalities, which are fused via concatenation. The fused features are then fed into a Bi-GRU network to capture temporal dependencies, ultimately forming a robust CNN-Bi-GRU model. Comparative experiments with ARIMA, standalone GRU, and EEMD-ARIMA (a hybrid model combining ensemble empirical mode decomposition with ARIMA) demonstrate the superiority of our approach in both short- and long-term forecasting tasks on the same dataset. This research offers a potential framework to enhance renewable power demand prediction, supporting the industry’s sustainable growth and practical applications.</t>
  </si>
  <si>
    <t>Effective management and analysis of large-scale textual data presents significant challenges, notably due to high storage and processing demands. Text regression analysis, a specific branch of text mining, has proven invaluable in enabling individuals, researchers, and businesses to derive meaningful insights from the rapidly increasing volumes of textual data. However, the general grouping of algorithms in existing surveys often leads to confusion and imprecise evaluations. This paper addresses these issues by introducing a methodological taxonomy tailored for text regression analysis. This taxonomy categorizes algorithms into specific techniques and detailed categories, organized into two levels: methodology category and methodology technique. To validate the accuracy of the different techniques and categories, we conduct both empirical and experimental evaluations of text regression techniques. Empirical evaluations are based on four criteria, while experimental evaluations include rankings of: (1) algorithms employing identical techniques, (2) various techniques within the same category, and (3) contrasting categories overall. This dual approach of methodological structuring and rigorous evaluation offers a nuanced and comprehensive understanding of text regression algorithms, equipping researchers with the knowledge to make informed decisions</t>
  </si>
  <si>
    <t>Text regression is an important task in natural language processing (NLP), which aims to predict continuous numerical values associated with text. Previous work focused on linear text regression requiring manual feature selection for financial prediction. Recently, non-linear text regression through neural network models has become a trend. However, most models rely only on convolutional neural networks (CNN) and suffer from insufficient interpretability. In this paper, we propose a deep neural network model named EM-CBA for text regression and further interpret the model. The proposed model is powered by word EMbedding, CNN, Bidirectional long short-term memory (Bi-LSTM) and Attention mechanism. The proposed EM-CBA takes financial report texts as input and predicts a financial metric named return on assets (ROA). We conduct comprehensive experiments on a dataset about the reports of enterprises. Experimental results show that the proposed model provides more accurate predictions of enterprises' metrics than previous convolutional neural network models and other classical models. The validity of each module of the model is also verified. Finally, we demonstrate a way of performing analysis in words change and results errors to intuitively interpret the effect of different text inputs on the model. The analysis demonstrates that the model is able to use information about sentiment words to analyse their associated contexts to revise the predictions.</t>
  </si>
  <si>
    <t>We examine the evolutionary effects of sentiment words in financial text and their implications for various business outcomes. We propose an algorithm called Word List Vector for Sentiment (WOLVES) that leverages both a human-defined sentiment word list and the word embedding approach to quantify text sentiment over time. We then apply WOLVES to investigate the evolutionary effects of the most popular financial word list, Loughran and McDonald (LM) dictionary, in annual reports, conference calls, and financial news. We find that LM negative words become less negative over time in annual reports compared to conference calls and financial news, while LM positive words remain qualitatively unchanged. This finding reconciles with existing evidence that negative words are more subject to managers’ strategic communication. We also provide practical implications of WOLVES by correlating the sentiment evolution of LM negative words in annual reports with market reaction, earnings performance, and accounting fraud.</t>
  </si>
  <si>
    <t>Stock movement prediction is a challenging task due to its dynamic and nonlinear characteristics. Different information sources provide a rich variety of perspectives and dimensions, which can be integrated to understand market dynamics more comprehensively. However, different information may have complex interrelationships and nonlinear features, the deep fusion method can make the model have a powerful representation learning ability, and automatically learn complex features and relationships. Therefore, how to deeply fuse numerical data and text to achieve interaction between different types of information to complete more effective prediction tasks is a difficult problem. In this paper, we propose a stock movement prediction model based on deep fusion (SMPDF), including text and stock price feature extraction, feature fusion and feature processing, which can successfully fuse text and stock price. Experiments show that the proposed method has better modeling performance under the SMPDF framework and brings greater improvement in prediction performance.</t>
  </si>
  <si>
    <t xml:space="preserve">Advances in software engineering, particularly in Agile software development (ASD), demand innovative approaches to effort estimation due to the volatility in Agile environments. Recent trends have made the automation of story point (SP) estimation increasingly relevant, with significant potential for enhancing accuracy. This study introduces a novel model for software effort estimation (SEE) utilizing a deep learning (DL)-based sentence-BERT (SBERT) model for feature extraction combined with advanced gradient-boosted tree (GBT) algorithms. A comprehensive evaluation shows that the proposed model outperforms standard SEE and state-of-the-art models, demonstrating a mean absolute error (MAE) of 2.15 and a median absolute error (MdAE) of 1.85, representing a 12% improvement over the baseline model and an 18% improvement over the best-performing state-of-the-art model. The standardized accuracy (SA) is 93%, which is 7% higher than the next best model, across a dataset of 31,960 issues from 26 open-source Agile projects. This study contributes to software engineering by offering a more accurate and reliable decision support system for estimating project efforts.
</t>
  </si>
  <si>
    <t xml:space="preserve">This work presents a comparative analysis of various machine learning (ML) methods for predicting item difficulty in English reading comprehension tests using text features extracted from item wordings. A wide range of ML algorithms are employed within both the supervised regression and the classification tasks, including regularization methods, support vector machines, trees, random forests, back-propagation neural networks, and Naïve Bayes; moreover, the ML algorithms are compared to the performance of domain experts. Using f-fold cross-validation and considering the root mean square error (RMSE) as the performance metric, elastic net outperformed other approaches in a continuous item difficulty prediction. Within classifiers, random forests returned the highest extended predictive accuracy. We demonstrate that the ML algorithms implementing item text features can compete with predictions made by domain experts, and we suggest that they should be used to inform and improve these predictions, especially when item pre-testing is limited or unavailable. Future research is needed to study the performance of the ML algorithms using item text features on different item types and respondent populations.
</t>
  </si>
  <si>
    <t>Tracking emotion fluctuations in adolescents’ daily lives is essential for understanding mood dynamics and identifying early markers of affective disorders. This study examines the potential of text-based approaches for emotion prediction by comparing nomothetic (group-level) and idiographic (individualized) models in predicting adolescents’ daily negative affect (NA) from text features. Additionally, we evaluate different Natural Language Processing (NLP) techniques for capturing within-person emotion fluctuations. We analyzed ecological momentary assessment (EMA) text responses from 97 adolescents (ages 14–18, 77.3% female, 22.7% male, NEMA=7,680). Text features were extracted using a dictionary-based approach, topic modeling, and GPT-derived emotion ratings. Random Forest and Elastic Net Regression models predicted NA from these text features, comparing nomothetic and idiographic approaches. All key findings, interactive visualizations, and model comparisons are available via a companion web app: https://emotracknlp.streamlit.app/. Idiographic models combining text features from different NLP approaches exhibited the best performance: they performed comparably to nomothetic models in R2 but yielded lower prediction error (Root Mean Squared Error), improving within-person precision. Importantly, there were substantial between-person differences in model performance and predictive linguistic features. When selecting the best-performing model for each participant, significant correlations between predicted and observed emotion scores were found for 90.7–94.8% of participants. Our findings suggest that while nomothetic models offer initial scalability, idiographic models may provide greater predictive precision with sufficient within-person data. A flexible, personalized approach that selects the optimal model for each individual may enhance emotion monitoring, while leveraging text data to provide contextual insights that could inform appropriate interventions.</t>
  </si>
  <si>
    <t>Decision support systems use LLM embeddings to convert market data into actionable
trading insights. However, current financial prediction models often overlook valuable
information within short-term intervals (e.g., 4 hours) within longer ones (e.g., a day).
The dissemination of news within these shorter periods significantly impacts market
movements even for multiple days. This study aims to determine the effectiveness of
incorporating fine-grained information into market prediction models that traditionally
rely on coarse-grained data. We design a neural network to simultaneously attend to
important news and influential indicators present in short-term time slices as well as
benefit from market data available in long-term timeframes. With the advancement of
contrastive learning-based NLP, we utilize the Angle-optimized Embedding (AoE) sentence transformer for news representation, which generates discriminative embeddings
leveraging angle-optimized loss. Besides, to tackle the problem of non-stationary series
regression, we employed reversible instance normalization. Comparative results with
baseline articles within Forex and cryptocurrencies demonstrate the superiority of the
proposed method. Our ablation studies demonstrate that the simultaneous use of financial market data in both fine-grained hourly time slices and coarse-grained daily
time slices improves prediction accuracy by up to 60%. Furthermore, utilizing the AoE
method to generate informative vector representations for news documents outperformed
other embeddings by up to 9.5%.</t>
  </si>
  <si>
    <t>. Price forecasting is one of the fundamental techniques used in most businesses to improve the competitiveness and decision-making level. Nonetheless, it is a
non-trivial task to make a model that provides high accuracy price prediction, especially in modern enterprises with ever longer, and more complex supply chains across the
globe. In the classical approach for predictive problem, researchers applied the time series
forecasting, but no decent outcome has been developed so far. This work suggests a new
way to tackle this problem in the modern complex business world to predict the price of
plastic resin by using the integration of textual information and numerical indicators input to deep learning models. Since the traditional methods which are based on historical
price itself are not sufficient, external data like economic indicators or textual information gathered from news articles, can improve the performance of the models by catching
the overall global economic sentiment. Word semantic is retrieved as a vector representation from pre-trained word embeddings called Global Vectors for Word Representation
(GloVe). In addition, deep learning models have gained great attention in the past decade
after showing promising performance in various applications including Natural Language
Processing (NLP), computer vision, and voice recognition. Hence, deep learning models,
Artificial Neural Network (ANN) and Recurrent Neural Network (RNN) are utilized in
this research to deal with the complex and fluctuated price of plastic resin. The models’
performances are validated with root mean squared error metric. The training, validation, and test losses of ANN are between 100-200, 15-40, and 15-40, respectively. While
the training, validation, and test losses of RNN are between 150-300, 40-70, and 40-70,
respectively. Although the results show that RNN models perform a little poorer than
ANN, both ANN and RNN show sufficient and satisfying result for plastic resin price
prediction. This research also proposed new models designed to handle time series input data with a combination between textual and numerical data and contribute a new
alternative strategy in petrochemical industries for more accurate price prediction which
is the starting point for developing even more sophisticated and more accurate models in
the future.</t>
  </si>
  <si>
    <t>In this paper, I describe my submission to the SemEval-2024 contest. I tackled subtask 1 - “Semantic Textual Relatedness for African and Asian Languages”. To find the semantic relatedness of sentence pairs, I tackled this task by creating models for nine different languages. I then vectorized the text data using a variety of embedding techniques including doc2vec, tf-idf, Sentence-Transformers, Bert, Roberta, and more, and used 11 traditional machine learning techniques of the regression type for analysis and evaluation.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</si>
</sst>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12">
    <font>
      <sz val="10.0"/>
      <color rgb="FF000000"/>
      <name val="Arial"/>
      <scheme val="minor"/>
    </font>
    <font>
      <color theme="1"/>
      <name val="Arial"/>
      <scheme val="minor"/>
    </font>
    <font>
      <b/>
      <sz val="11.0"/>
      <color theme="1"/>
      <name val="Calibri"/>
    </font>
    <font>
      <sz val="11.0"/>
      <color theme="1"/>
      <name val="Calibri"/>
    </font>
    <font>
      <u/>
      <sz val="11.0"/>
      <color rgb="FF0000FF"/>
      <name val="Calibri"/>
    </font>
    <font>
      <u/>
      <sz val="11.0"/>
      <color rgb="FF0000FF"/>
      <name val="Calibri"/>
    </font>
    <font>
      <b/>
      <color rgb="FF1F1F1F"/>
      <name val="Google Sans Text"/>
    </font>
    <font>
      <color rgb="FF1F1F1F"/>
      <name val="Google Sans Text"/>
    </font>
    <font>
      <color theme="1"/>
      <name val="Arial"/>
    </font>
    <font>
      <u/>
      <color rgb="FF0000FF"/>
    </font>
    <font>
      <color rgb="FF1F1F1F"/>
      <name val="&quot;Google Sans Text&quot;"/>
    </font>
    <font>
      <i/>
      <color rgb="FF1F1F1F"/>
      <name val="&quot;Google Sans Text&quot;"/>
    </font>
  </fonts>
  <fills count="9">
    <fill>
      <patternFill patternType="none"/>
    </fill>
    <fill>
      <patternFill patternType="lightGray"/>
    </fill>
    <fill>
      <patternFill patternType="solid">
        <fgColor rgb="FFF4CCCC"/>
        <bgColor rgb="FFF4CCCC"/>
      </patternFill>
    </fill>
    <fill>
      <patternFill patternType="solid">
        <fgColor rgb="FFEA9999"/>
        <bgColor rgb="FFEA9999"/>
      </patternFill>
    </fill>
    <fill>
      <patternFill patternType="solid">
        <fgColor rgb="FFFFFF00"/>
        <bgColor rgb="FFFFFF00"/>
      </patternFill>
    </fill>
    <fill>
      <patternFill patternType="solid">
        <fgColor rgb="FFD9EAD3"/>
        <bgColor rgb="FFD9EAD3"/>
      </patternFill>
    </fill>
    <fill>
      <patternFill patternType="solid">
        <fgColor rgb="FFE06666"/>
        <bgColor rgb="FFE06666"/>
      </patternFill>
    </fill>
    <fill>
      <patternFill patternType="solid">
        <fgColor rgb="FFFF0000"/>
        <bgColor rgb="FFFF00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readingOrder="0"/>
    </xf>
    <xf borderId="0" fillId="0" fontId="1" numFmtId="0" xfId="0" applyAlignment="1" applyFont="1">
      <alignment horizontal="left" readingOrder="0" shrinkToFit="0" vertical="center" wrapText="1"/>
    </xf>
    <xf borderId="0" fillId="0" fontId="1" numFmtId="164" xfId="0" applyAlignment="1" applyFont="1" applyNumberFormat="1">
      <alignment horizontal="center" readingOrder="0" vertical="center"/>
    </xf>
    <xf borderId="0" fillId="0" fontId="1" numFmtId="0" xfId="0" applyAlignment="1" applyFont="1">
      <alignment horizontal="center" vertical="center"/>
    </xf>
    <xf borderId="0" fillId="0" fontId="1" numFmtId="0" xfId="0" applyAlignment="1" applyFont="1">
      <alignment shrinkToFit="0" wrapText="1"/>
    </xf>
    <xf borderId="1" fillId="0" fontId="2" numFmtId="0" xfId="0" applyAlignment="1" applyBorder="1" applyFont="1">
      <alignment horizontal="center" vertical="top"/>
    </xf>
    <xf borderId="0" fillId="0" fontId="3" numFmtId="0" xfId="0" applyAlignment="1" applyFont="1">
      <alignment vertical="bottom"/>
    </xf>
    <xf borderId="0" fillId="2" fontId="3" numFmtId="0" xfId="0" applyAlignment="1" applyFill="1" applyFont="1">
      <alignment vertical="bottom"/>
    </xf>
    <xf borderId="0" fillId="3" fontId="3" numFmtId="0" xfId="0" applyAlignment="1" applyFill="1" applyFont="1">
      <alignment vertical="bottom"/>
    </xf>
    <xf borderId="0" fillId="4" fontId="2" numFmtId="0" xfId="0" applyAlignment="1" applyFill="1" applyFont="1">
      <alignment horizontal="center" readingOrder="0"/>
    </xf>
    <xf borderId="1" fillId="0" fontId="2" numFmtId="0" xfId="0" applyAlignment="1" applyBorder="1" applyFont="1">
      <alignment horizontal="center"/>
    </xf>
    <xf borderId="0" fillId="4" fontId="2" numFmtId="0" xfId="0" applyAlignment="1" applyFont="1">
      <alignment horizontal="center" shrinkToFit="0" wrapText="1"/>
    </xf>
    <xf borderId="0" fillId="5" fontId="2" numFmtId="0" xfId="0" applyAlignment="1" applyFill="1" applyFont="1">
      <alignment horizontal="center" shrinkToFit="0" wrapText="1"/>
    </xf>
    <xf borderId="0" fillId="6" fontId="2" numFmtId="0" xfId="0" applyAlignment="1" applyFill="1" applyFont="1">
      <alignment horizontal="center" shrinkToFit="0" wrapText="1"/>
    </xf>
    <xf borderId="0" fillId="0" fontId="1" numFmtId="0" xfId="0" applyAlignment="1" applyFont="1">
      <alignment horizontal="center" readingOrder="0"/>
    </xf>
    <xf borderId="0" fillId="0" fontId="3" numFmtId="0" xfId="0" applyAlignment="1" applyFont="1">
      <alignment horizontal="center" readingOrder="0" vertical="bottom"/>
    </xf>
    <xf borderId="0" fillId="0" fontId="1" numFmtId="0" xfId="0" applyAlignment="1" applyFont="1">
      <alignment horizontal="left" readingOrder="0"/>
    </xf>
    <xf borderId="0" fillId="0" fontId="3" numFmtId="0" xfId="0" applyAlignment="1" applyFont="1">
      <alignment horizontal="center" vertical="bottom"/>
    </xf>
    <xf borderId="0" fillId="0" fontId="3" numFmtId="0" xfId="0" applyAlignment="1" applyFont="1">
      <alignment horizontal="right" vertical="bottom"/>
    </xf>
    <xf borderId="0" fillId="0" fontId="1" numFmtId="0" xfId="0" applyAlignment="1" applyFont="1">
      <alignment horizontal="center"/>
    </xf>
    <xf borderId="0" fillId="0" fontId="3" numFmtId="0" xfId="0" applyAlignment="1" applyFont="1">
      <alignment horizontal="center"/>
    </xf>
    <xf borderId="0" fillId="0" fontId="1" numFmtId="0" xfId="0" applyFont="1"/>
    <xf borderId="0" fillId="0" fontId="1" numFmtId="0" xfId="0" applyAlignment="1" applyFont="1">
      <alignment readingOrder="0" shrinkToFit="0" wrapText="0"/>
    </xf>
    <xf borderId="0" fillId="5" fontId="3" numFmtId="0" xfId="0" applyAlignment="1" applyFont="1">
      <alignment vertical="bottom"/>
    </xf>
    <xf borderId="0" fillId="0" fontId="4" numFmtId="0" xfId="0" applyAlignment="1" applyFont="1">
      <alignment vertical="bottom"/>
    </xf>
    <xf borderId="0" fillId="7" fontId="3" numFmtId="0" xfId="0" applyAlignment="1" applyFill="1" applyFont="1">
      <alignment vertical="bottom"/>
    </xf>
    <xf borderId="0" fillId="7" fontId="3" numFmtId="0" xfId="0" applyAlignment="1" applyFont="1">
      <alignment horizontal="center"/>
    </xf>
    <xf borderId="0" fillId="8" fontId="3" numFmtId="0" xfId="0" applyAlignment="1" applyFill="1" applyFont="1">
      <alignment horizontal="center"/>
    </xf>
    <xf borderId="0" fillId="5" fontId="5" numFmtId="0" xfId="0" applyAlignment="1" applyFont="1">
      <alignment vertical="bottom"/>
    </xf>
    <xf borderId="0" fillId="0" fontId="6" numFmtId="0" xfId="0" applyFont="1"/>
    <xf borderId="0" fillId="0" fontId="7" numFmtId="0" xfId="0" applyAlignment="1" applyFont="1">
      <alignment shrinkToFit="0" wrapText="1"/>
    </xf>
    <xf borderId="0" fillId="0" fontId="8" numFmtId="0" xfId="0" applyAlignment="1" applyFont="1">
      <alignment horizontal="center" shrinkToFit="0" wrapText="1"/>
    </xf>
    <xf borderId="0" fillId="0" fontId="3" numFmtId="0" xfId="0" applyAlignment="1" applyFont="1">
      <alignment horizontal="center" shrinkToFit="0" wrapText="1"/>
    </xf>
    <xf borderId="0" fillId="0" fontId="3" numFmtId="0" xfId="0" applyAlignment="1" applyFont="1">
      <alignment shrinkToFit="0" wrapText="0"/>
    </xf>
    <xf borderId="0" fillId="0" fontId="9" numFmtId="0" xfId="0" applyFont="1"/>
    <xf borderId="0" fillId="0" fontId="10" numFmtId="0" xfId="0" applyAlignment="1" applyFont="1">
      <alignment readingOrder="0"/>
    </xf>
    <xf borderId="0" fillId="0" fontId="1" numFmtId="10" xfId="0" applyFont="1" applyNumberFormat="1"/>
    <xf borderId="0" fillId="0" fontId="1" numFmtId="3" xfId="0" applyAlignment="1" applyFont="1" applyNumberFormat="1">
      <alignment readingOrder="0"/>
    </xf>
    <xf borderId="0" fillId="0" fontId="1" numFmtId="10" xfId="0" applyAlignment="1" applyFont="1" applyNumberFormat="1">
      <alignment readingOrder="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ssets.pubpub.org/p41eo02p/119-01746737674155.pdf" TargetMode="External"/><Relationship Id="rId2" Type="http://schemas.openxmlformats.org/officeDocument/2006/relationships/hyperlink" Target="https://assets.pubpub.org/p41eo02p/119-01746737674155.pdf"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5"/>
    <col customWidth="1" min="3" max="3" width="30.88"/>
    <col customWidth="1" min="4" max="6" width="16.75"/>
    <col customWidth="1" min="7" max="7" width="29.38"/>
  </cols>
  <sheetData>
    <row r="1">
      <c r="A1" s="1" t="s">
        <v>0</v>
      </c>
      <c r="B1" s="1" t="s">
        <v>1</v>
      </c>
      <c r="C1" s="2" t="s">
        <v>2</v>
      </c>
      <c r="D1" s="1" t="s">
        <v>3</v>
      </c>
      <c r="E1" s="1" t="s">
        <v>4</v>
      </c>
      <c r="F1" s="1" t="s">
        <v>5</v>
      </c>
      <c r="G1" s="3" t="s">
        <v>6</v>
      </c>
    </row>
    <row r="2" ht="48.0" customHeight="1">
      <c r="A2" s="1" t="s">
        <v>7</v>
      </c>
      <c r="B2" s="1" t="s">
        <v>8</v>
      </c>
      <c r="C2" s="4" t="s">
        <v>9</v>
      </c>
      <c r="D2" s="5">
        <v>46057.0</v>
      </c>
      <c r="E2" s="5">
        <v>46057.0</v>
      </c>
      <c r="F2" s="6"/>
    </row>
    <row r="3" ht="48.0" customHeight="1">
      <c r="A3" s="1" t="s">
        <v>10</v>
      </c>
      <c r="B3" s="1" t="s">
        <v>11</v>
      </c>
      <c r="C3" s="4" t="s">
        <v>12</v>
      </c>
      <c r="D3" s="5">
        <v>46058.0</v>
      </c>
      <c r="E3" s="5">
        <v>46058.0</v>
      </c>
      <c r="F3" s="5">
        <v>46063.0</v>
      </c>
      <c r="G3" s="3" t="s">
        <v>13</v>
      </c>
    </row>
    <row r="4" ht="48.0" customHeight="1">
      <c r="A4" s="1" t="s">
        <v>10</v>
      </c>
      <c r="B4" s="1" t="s">
        <v>14</v>
      </c>
      <c r="C4" s="4" t="s">
        <v>15</v>
      </c>
      <c r="D4" s="5">
        <v>46058.0</v>
      </c>
      <c r="E4" s="5">
        <v>46058.0</v>
      </c>
      <c r="F4" s="5">
        <v>46063.0</v>
      </c>
    </row>
    <row r="5" ht="48.0" customHeight="1">
      <c r="A5" s="1" t="s">
        <v>10</v>
      </c>
      <c r="B5" s="1" t="s">
        <v>16</v>
      </c>
      <c r="C5" s="4" t="s">
        <v>17</v>
      </c>
      <c r="D5" s="5">
        <v>46059.0</v>
      </c>
      <c r="E5" s="5">
        <v>46059.0</v>
      </c>
      <c r="F5" s="5">
        <v>46073.0</v>
      </c>
    </row>
    <row r="6" ht="48.0" customHeight="1">
      <c r="A6" s="1" t="s">
        <v>18</v>
      </c>
      <c r="B6" s="1" t="s">
        <v>19</v>
      </c>
      <c r="C6" s="4" t="s">
        <v>20</v>
      </c>
      <c r="D6" s="5">
        <v>46062.0</v>
      </c>
      <c r="E6" s="5">
        <v>46062.0</v>
      </c>
      <c r="F6" s="5">
        <v>46073.0</v>
      </c>
    </row>
    <row r="7" ht="48.0" customHeight="1">
      <c r="A7" s="1" t="s">
        <v>18</v>
      </c>
      <c r="B7" s="1" t="s">
        <v>21</v>
      </c>
      <c r="C7" s="4" t="s">
        <v>22</v>
      </c>
      <c r="D7" s="5">
        <v>46063.0</v>
      </c>
      <c r="E7" s="5">
        <v>46063.0</v>
      </c>
      <c r="F7" s="5">
        <v>46073.0</v>
      </c>
    </row>
    <row r="8" ht="48.0" customHeight="1">
      <c r="A8" s="1" t="s">
        <v>18</v>
      </c>
      <c r="B8" s="1" t="s">
        <v>23</v>
      </c>
      <c r="C8" s="4" t="s">
        <v>24</v>
      </c>
      <c r="D8" s="5">
        <v>46064.0</v>
      </c>
      <c r="E8" s="5">
        <v>46064.0</v>
      </c>
      <c r="F8" s="5">
        <v>46073.0</v>
      </c>
    </row>
    <row r="9" ht="48.0" customHeight="1">
      <c r="A9" s="1" t="s">
        <v>25</v>
      </c>
      <c r="B9" s="1" t="s">
        <v>26</v>
      </c>
      <c r="C9" s="4" t="s">
        <v>27</v>
      </c>
      <c r="D9" s="5">
        <v>46065.0</v>
      </c>
      <c r="E9" s="5">
        <v>46065.0</v>
      </c>
      <c r="F9" s="5">
        <v>46073.0</v>
      </c>
    </row>
    <row r="10" ht="48.0" customHeight="1">
      <c r="A10" s="1" t="s">
        <v>25</v>
      </c>
      <c r="B10" s="1" t="s">
        <v>28</v>
      </c>
      <c r="C10" s="4" t="s">
        <v>29</v>
      </c>
      <c r="D10" s="5">
        <v>46066.0</v>
      </c>
      <c r="E10" s="5">
        <v>46066.0</v>
      </c>
      <c r="F10" s="5"/>
    </row>
    <row r="11" ht="48.0" customHeight="1">
      <c r="A11" s="1" t="s">
        <v>25</v>
      </c>
      <c r="B11" s="1" t="s">
        <v>30</v>
      </c>
      <c r="C11" s="4" t="s">
        <v>31</v>
      </c>
      <c r="D11" s="5">
        <v>46069.0</v>
      </c>
      <c r="E11" s="5">
        <v>46069.0</v>
      </c>
      <c r="F11" s="6"/>
    </row>
    <row r="12" ht="48.0" customHeight="1">
      <c r="A12" s="1" t="s">
        <v>25</v>
      </c>
      <c r="B12" s="1" t="s">
        <v>32</v>
      </c>
      <c r="C12" s="4" t="s">
        <v>33</v>
      </c>
      <c r="D12" s="5">
        <v>46070.0</v>
      </c>
      <c r="E12" s="5">
        <v>46070.0</v>
      </c>
      <c r="F12" s="6"/>
    </row>
    <row r="13" ht="48.0" customHeight="1">
      <c r="A13" s="1" t="s">
        <v>34</v>
      </c>
      <c r="B13" s="1" t="s">
        <v>35</v>
      </c>
      <c r="C13" s="4" t="s">
        <v>36</v>
      </c>
      <c r="D13" s="5">
        <v>46071.0</v>
      </c>
      <c r="E13" s="5">
        <v>46071.0</v>
      </c>
      <c r="F13" s="6"/>
    </row>
    <row r="14" ht="48.0" customHeight="1">
      <c r="A14" s="1" t="s">
        <v>34</v>
      </c>
      <c r="B14" s="1" t="s">
        <v>37</v>
      </c>
      <c r="C14" s="4" t="s">
        <v>38</v>
      </c>
      <c r="D14" s="5">
        <v>46072.0</v>
      </c>
      <c r="E14" s="5">
        <v>46072.0</v>
      </c>
      <c r="F14" s="6"/>
    </row>
    <row r="15" ht="48.0" customHeight="1">
      <c r="A15" s="1" t="s">
        <v>34</v>
      </c>
      <c r="B15" s="1" t="s">
        <v>37</v>
      </c>
      <c r="C15" s="4" t="s">
        <v>39</v>
      </c>
      <c r="D15" s="5">
        <v>46073.0</v>
      </c>
      <c r="E15" s="5">
        <v>46073.0</v>
      </c>
      <c r="F15" s="6"/>
    </row>
    <row r="16" ht="48.0" customHeight="1">
      <c r="A16" s="1" t="s">
        <v>34</v>
      </c>
      <c r="B16" s="1" t="s">
        <v>40</v>
      </c>
      <c r="C16" s="4" t="s">
        <v>41</v>
      </c>
      <c r="D16" s="5">
        <v>46076.0</v>
      </c>
      <c r="E16" s="5">
        <v>46076.0</v>
      </c>
      <c r="F16" s="6"/>
    </row>
    <row r="17" ht="48.0" customHeight="1">
      <c r="A17" s="1" t="s">
        <v>42</v>
      </c>
      <c r="B17" s="1" t="s">
        <v>43</v>
      </c>
      <c r="C17" s="4" t="s">
        <v>44</v>
      </c>
      <c r="D17" s="5">
        <v>46077.0</v>
      </c>
      <c r="E17" s="5">
        <v>46077.0</v>
      </c>
      <c r="F17" s="6"/>
    </row>
    <row r="18" ht="48.0" customHeight="1">
      <c r="A18" s="1" t="s">
        <v>42</v>
      </c>
      <c r="B18" s="1" t="s">
        <v>45</v>
      </c>
      <c r="C18" s="4" t="s">
        <v>46</v>
      </c>
      <c r="D18" s="5">
        <v>46078.0</v>
      </c>
      <c r="E18" s="5">
        <v>46078.0</v>
      </c>
      <c r="F18" s="6"/>
    </row>
    <row r="19" ht="48.0" customHeight="1">
      <c r="A19" s="1" t="s">
        <v>42</v>
      </c>
      <c r="B19" s="1" t="s">
        <v>47</v>
      </c>
      <c r="C19" s="4" t="s">
        <v>48</v>
      </c>
      <c r="D19" s="5">
        <v>46079.0</v>
      </c>
      <c r="E19" s="5">
        <v>46079.0</v>
      </c>
      <c r="F19" s="6"/>
    </row>
    <row r="20" ht="48.0" customHeight="1">
      <c r="A20" s="1" t="s">
        <v>49</v>
      </c>
      <c r="B20" s="1" t="s">
        <v>50</v>
      </c>
      <c r="C20" s="4" t="s">
        <v>51</v>
      </c>
      <c r="D20" s="5">
        <v>46080.0</v>
      </c>
      <c r="E20" s="5">
        <v>46080.0</v>
      </c>
      <c r="F20" s="6"/>
    </row>
    <row r="21" ht="48.0" customHeight="1">
      <c r="A21" s="1" t="s">
        <v>49</v>
      </c>
      <c r="B21" s="1" t="s">
        <v>52</v>
      </c>
      <c r="C21" s="4" t="s">
        <v>53</v>
      </c>
      <c r="D21" s="5">
        <v>46083.0</v>
      </c>
      <c r="E21" s="5">
        <v>46083.0</v>
      </c>
      <c r="F21" s="6"/>
    </row>
    <row r="22" ht="48.0" customHeight="1">
      <c r="A22" s="1" t="s">
        <v>49</v>
      </c>
      <c r="B22" s="1" t="s">
        <v>54</v>
      </c>
      <c r="C22" s="4" t="s">
        <v>55</v>
      </c>
      <c r="D22" s="5">
        <v>46084.0</v>
      </c>
      <c r="E22" s="5">
        <v>46084.0</v>
      </c>
      <c r="F22" s="6"/>
    </row>
    <row r="23" ht="48.0" customHeight="1">
      <c r="A23" s="1" t="s">
        <v>56</v>
      </c>
      <c r="B23" s="1" t="s">
        <v>57</v>
      </c>
      <c r="C23" s="4" t="s">
        <v>58</v>
      </c>
      <c r="D23" s="5">
        <v>46085.0</v>
      </c>
      <c r="E23" s="5">
        <v>46085.0</v>
      </c>
      <c r="F23" s="6"/>
    </row>
    <row r="24" ht="48.0" customHeight="1">
      <c r="A24" s="1" t="s">
        <v>56</v>
      </c>
      <c r="B24" s="1" t="s">
        <v>59</v>
      </c>
      <c r="C24" s="4" t="s">
        <v>60</v>
      </c>
      <c r="D24" s="5">
        <v>46086.0</v>
      </c>
      <c r="E24" s="5">
        <v>46086.0</v>
      </c>
      <c r="F24" s="6"/>
    </row>
    <row r="25" ht="48.0" customHeight="1">
      <c r="A25" s="1" t="s">
        <v>61</v>
      </c>
      <c r="B25" s="1" t="s">
        <v>62</v>
      </c>
      <c r="C25" s="4" t="s">
        <v>63</v>
      </c>
      <c r="D25" s="5">
        <v>46087.0</v>
      </c>
      <c r="E25" s="5">
        <v>46087.0</v>
      </c>
      <c r="F25" s="6"/>
    </row>
    <row r="26">
      <c r="C26" s="7"/>
    </row>
    <row r="27">
      <c r="C27" s="7"/>
    </row>
    <row r="28">
      <c r="C28" s="7"/>
    </row>
    <row r="29">
      <c r="C29" s="7"/>
    </row>
    <row r="30">
      <c r="C30" s="7"/>
    </row>
    <row r="31">
      <c r="C31" s="7"/>
    </row>
    <row r="32">
      <c r="C32" s="7"/>
    </row>
    <row r="33">
      <c r="C33" s="7"/>
    </row>
    <row r="34">
      <c r="C34" s="7"/>
    </row>
    <row r="35">
      <c r="C35" s="7"/>
    </row>
    <row r="36">
      <c r="C36" s="7"/>
    </row>
    <row r="37">
      <c r="C37" s="7"/>
    </row>
    <row r="38">
      <c r="C38" s="7"/>
    </row>
    <row r="39">
      <c r="C39" s="7"/>
    </row>
    <row r="40">
      <c r="C40" s="7"/>
    </row>
    <row r="41">
      <c r="C41" s="7"/>
    </row>
    <row r="42">
      <c r="C42" s="7"/>
    </row>
    <row r="43">
      <c r="C43" s="7"/>
    </row>
    <row r="44">
      <c r="C44" s="7"/>
    </row>
    <row r="45">
      <c r="C45" s="7"/>
    </row>
    <row r="46">
      <c r="C46" s="7"/>
    </row>
    <row r="47">
      <c r="C47" s="7"/>
    </row>
    <row r="48">
      <c r="C48" s="7"/>
    </row>
    <row r="49">
      <c r="C49" s="7"/>
    </row>
    <row r="50">
      <c r="C50" s="7"/>
    </row>
    <row r="51">
      <c r="C51" s="7"/>
    </row>
    <row r="52">
      <c r="C52" s="7"/>
    </row>
    <row r="53">
      <c r="C53" s="7"/>
    </row>
    <row r="54">
      <c r="C54" s="7"/>
    </row>
    <row r="55">
      <c r="C55" s="7"/>
    </row>
    <row r="56">
      <c r="C56" s="7"/>
    </row>
    <row r="57">
      <c r="C57" s="7"/>
    </row>
    <row r="58">
      <c r="C58" s="7"/>
    </row>
    <row r="59">
      <c r="C59" s="7"/>
    </row>
    <row r="60">
      <c r="C60" s="7"/>
    </row>
    <row r="61">
      <c r="C61" s="7"/>
    </row>
    <row r="62">
      <c r="C62" s="7"/>
    </row>
    <row r="63">
      <c r="C63" s="7"/>
    </row>
    <row r="64">
      <c r="C64" s="7"/>
    </row>
    <row r="65">
      <c r="C65" s="7"/>
    </row>
    <row r="66">
      <c r="C66" s="7"/>
    </row>
    <row r="67">
      <c r="C67" s="7"/>
    </row>
    <row r="68">
      <c r="C68" s="7"/>
    </row>
    <row r="69">
      <c r="C69" s="7"/>
    </row>
    <row r="70">
      <c r="C70" s="7"/>
    </row>
    <row r="71">
      <c r="C71" s="7"/>
    </row>
    <row r="72">
      <c r="C72" s="7"/>
    </row>
    <row r="73">
      <c r="C73" s="7"/>
    </row>
    <row r="74">
      <c r="C74" s="7"/>
    </row>
    <row r="75">
      <c r="C75" s="7"/>
    </row>
    <row r="76">
      <c r="C76" s="7"/>
    </row>
    <row r="77">
      <c r="C77" s="7"/>
    </row>
    <row r="78">
      <c r="C78" s="7"/>
    </row>
    <row r="79">
      <c r="C79" s="7"/>
    </row>
    <row r="80">
      <c r="C80" s="7"/>
    </row>
    <row r="81">
      <c r="C81" s="7"/>
    </row>
    <row r="82">
      <c r="C82" s="7"/>
    </row>
    <row r="83">
      <c r="C83" s="7"/>
    </row>
    <row r="84">
      <c r="C84" s="7"/>
    </row>
    <row r="85">
      <c r="C85" s="7"/>
    </row>
    <row r="86">
      <c r="C86" s="7"/>
    </row>
    <row r="87">
      <c r="C87" s="7"/>
    </row>
    <row r="88">
      <c r="C88" s="7"/>
    </row>
    <row r="89">
      <c r="C89" s="7"/>
    </row>
    <row r="90">
      <c r="C90" s="7"/>
    </row>
    <row r="91">
      <c r="C91" s="7"/>
    </row>
    <row r="92">
      <c r="C92" s="7"/>
    </row>
    <row r="93">
      <c r="C93" s="7"/>
    </row>
    <row r="94">
      <c r="C94" s="7"/>
    </row>
    <row r="95">
      <c r="C95" s="7"/>
    </row>
    <row r="96">
      <c r="C96" s="7"/>
    </row>
    <row r="97">
      <c r="C97" s="7"/>
    </row>
    <row r="98">
      <c r="C98" s="7"/>
    </row>
    <row r="99">
      <c r="C99" s="7"/>
    </row>
    <row r="100">
      <c r="C100" s="7"/>
    </row>
    <row r="101">
      <c r="C101" s="7"/>
    </row>
    <row r="102">
      <c r="C102" s="7"/>
    </row>
    <row r="103">
      <c r="C103" s="7"/>
    </row>
    <row r="104">
      <c r="C104" s="7"/>
    </row>
    <row r="105">
      <c r="C105" s="7"/>
    </row>
    <row r="106">
      <c r="C106" s="7"/>
    </row>
    <row r="107">
      <c r="C107" s="7"/>
    </row>
    <row r="108">
      <c r="C108" s="7"/>
    </row>
    <row r="109">
      <c r="C109" s="7"/>
    </row>
    <row r="110">
      <c r="C110" s="7"/>
    </row>
    <row r="111">
      <c r="C111" s="7"/>
    </row>
    <row r="112">
      <c r="C112" s="7"/>
    </row>
    <row r="113">
      <c r="C113" s="7"/>
    </row>
    <row r="114">
      <c r="C114" s="7"/>
    </row>
    <row r="115">
      <c r="C115" s="7"/>
    </row>
    <row r="116">
      <c r="C116" s="7"/>
    </row>
    <row r="117">
      <c r="C117" s="7"/>
    </row>
    <row r="118">
      <c r="C118" s="7"/>
    </row>
    <row r="119">
      <c r="C119" s="7"/>
    </row>
    <row r="120">
      <c r="C120" s="7"/>
    </row>
    <row r="121">
      <c r="C121" s="7"/>
    </row>
    <row r="122">
      <c r="C122" s="7"/>
    </row>
    <row r="123">
      <c r="C123" s="7"/>
    </row>
    <row r="124">
      <c r="C124" s="7"/>
    </row>
    <row r="125">
      <c r="C125" s="7"/>
    </row>
    <row r="126">
      <c r="C126" s="7"/>
    </row>
    <row r="127">
      <c r="C127" s="7"/>
    </row>
    <row r="128">
      <c r="C128" s="7"/>
    </row>
    <row r="129">
      <c r="C129" s="7"/>
    </row>
    <row r="130">
      <c r="C130" s="7"/>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row r="995">
      <c r="C995" s="7"/>
    </row>
    <row r="996">
      <c r="C996" s="7"/>
    </row>
    <row r="997">
      <c r="C997" s="7"/>
    </row>
    <row r="998">
      <c r="C998" s="7"/>
    </row>
    <row r="999">
      <c r="C999" s="7"/>
    </row>
    <row r="1000">
      <c r="C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38"/>
    <col customWidth="1" min="2" max="2" width="48.63"/>
  </cols>
  <sheetData>
    <row r="1">
      <c r="A1" s="8" t="s">
        <v>64</v>
      </c>
      <c r="B1" s="8" t="s">
        <v>65</v>
      </c>
    </row>
    <row r="2">
      <c r="A2" s="9" t="s">
        <v>66</v>
      </c>
      <c r="B2" s="9" t="s">
        <v>67</v>
      </c>
    </row>
    <row r="3">
      <c r="A3" s="9" t="s">
        <v>68</v>
      </c>
    </row>
    <row r="4">
      <c r="A4" s="9" t="s">
        <v>69</v>
      </c>
      <c r="B4" s="9" t="s">
        <v>67</v>
      </c>
    </row>
    <row r="5">
      <c r="A5" s="9" t="s">
        <v>70</v>
      </c>
      <c r="B5" s="9" t="s">
        <v>71</v>
      </c>
    </row>
    <row r="6">
      <c r="A6" s="9" t="s">
        <v>72</v>
      </c>
      <c r="B6" s="9" t="s">
        <v>71</v>
      </c>
    </row>
    <row r="7">
      <c r="A7" s="9" t="s">
        <v>73</v>
      </c>
      <c r="B7" s="9" t="s">
        <v>67</v>
      </c>
    </row>
    <row r="8">
      <c r="A8" s="9" t="s">
        <v>74</v>
      </c>
      <c r="B8" s="9" t="s">
        <v>71</v>
      </c>
    </row>
    <row r="9">
      <c r="A9" s="9" t="s">
        <v>75</v>
      </c>
      <c r="B9" s="9" t="s">
        <v>71</v>
      </c>
    </row>
    <row r="10">
      <c r="A10" s="9" t="s">
        <v>76</v>
      </c>
      <c r="B10" s="9" t="s">
        <v>67</v>
      </c>
    </row>
    <row r="11">
      <c r="A11" s="9" t="s">
        <v>77</v>
      </c>
      <c r="B11" s="9" t="s">
        <v>71</v>
      </c>
    </row>
    <row r="12">
      <c r="A12" s="9" t="s">
        <v>78</v>
      </c>
      <c r="B12" s="9" t="s">
        <v>71</v>
      </c>
    </row>
    <row r="13">
      <c r="A13" s="9" t="s">
        <v>79</v>
      </c>
      <c r="B13" s="9" t="s">
        <v>71</v>
      </c>
    </row>
    <row r="14">
      <c r="A14" s="9" t="s">
        <v>80</v>
      </c>
      <c r="B14" s="9" t="s">
        <v>67</v>
      </c>
    </row>
    <row r="15">
      <c r="A15" s="9" t="s">
        <v>81</v>
      </c>
      <c r="B15" s="9" t="s">
        <v>71</v>
      </c>
    </row>
    <row r="16">
      <c r="A16" s="9" t="s">
        <v>82</v>
      </c>
      <c r="B16" s="9" t="s">
        <v>71</v>
      </c>
    </row>
    <row r="17">
      <c r="A17" s="9" t="s">
        <v>83</v>
      </c>
      <c r="B17" s="9" t="s">
        <v>71</v>
      </c>
    </row>
    <row r="18">
      <c r="A18" s="9" t="s">
        <v>84</v>
      </c>
      <c r="B18" s="9" t="s">
        <v>71</v>
      </c>
    </row>
    <row r="19">
      <c r="A19" s="9" t="s">
        <v>85</v>
      </c>
      <c r="B19" s="9" t="s">
        <v>71</v>
      </c>
    </row>
    <row r="20">
      <c r="A20" s="9" t="s">
        <v>86</v>
      </c>
      <c r="B20" s="9" t="s">
        <v>71</v>
      </c>
    </row>
    <row r="21">
      <c r="A21" s="9" t="s">
        <v>87</v>
      </c>
      <c r="B21" s="9" t="s">
        <v>71</v>
      </c>
    </row>
    <row r="22">
      <c r="A22" s="9" t="s">
        <v>88</v>
      </c>
      <c r="B22" s="9" t="s">
        <v>71</v>
      </c>
    </row>
    <row r="23">
      <c r="A23" s="9" t="s">
        <v>89</v>
      </c>
      <c r="B23" s="9" t="s">
        <v>71</v>
      </c>
    </row>
    <row r="24">
      <c r="A24" s="9" t="s">
        <v>90</v>
      </c>
      <c r="B24" s="9" t="s">
        <v>71</v>
      </c>
    </row>
    <row r="25">
      <c r="A25" s="10" t="s">
        <v>91</v>
      </c>
      <c r="B25" s="10" t="s">
        <v>67</v>
      </c>
    </row>
    <row r="26">
      <c r="A26" s="9" t="s">
        <v>92</v>
      </c>
      <c r="B26" s="9" t="s">
        <v>71</v>
      </c>
    </row>
    <row r="27">
      <c r="A27" s="9" t="s">
        <v>93</v>
      </c>
      <c r="B27" s="9" t="s">
        <v>71</v>
      </c>
    </row>
    <row r="28">
      <c r="A28" s="9" t="s">
        <v>94</v>
      </c>
      <c r="B28" s="9" t="s">
        <v>67</v>
      </c>
    </row>
    <row r="29">
      <c r="A29" s="9" t="s">
        <v>95</v>
      </c>
      <c r="B29" s="9" t="s">
        <v>67</v>
      </c>
    </row>
    <row r="30">
      <c r="A30" s="9" t="s">
        <v>96</v>
      </c>
      <c r="B30" s="9" t="s">
        <v>67</v>
      </c>
    </row>
    <row r="31">
      <c r="A31" s="9" t="s">
        <v>97</v>
      </c>
      <c r="B31" s="9" t="s">
        <v>67</v>
      </c>
    </row>
    <row r="32">
      <c r="A32" s="9" t="s">
        <v>98</v>
      </c>
      <c r="B32" s="9" t="s">
        <v>67</v>
      </c>
    </row>
    <row r="33">
      <c r="A33" s="9" t="s">
        <v>99</v>
      </c>
      <c r="B33" s="9" t="s">
        <v>71</v>
      </c>
    </row>
    <row r="34">
      <c r="A34" s="9" t="s">
        <v>100</v>
      </c>
      <c r="B34" s="9" t="s">
        <v>71</v>
      </c>
    </row>
    <row r="35">
      <c r="A35" s="9" t="s">
        <v>101</v>
      </c>
      <c r="B35" s="9" t="s">
        <v>67</v>
      </c>
    </row>
    <row r="36">
      <c r="A36" s="9" t="s">
        <v>102</v>
      </c>
      <c r="B36" s="9" t="s">
        <v>67</v>
      </c>
    </row>
    <row r="37">
      <c r="A37" s="9" t="s">
        <v>103</v>
      </c>
      <c r="B37" s="9" t="s">
        <v>71</v>
      </c>
    </row>
    <row r="38">
      <c r="A38" s="9" t="s">
        <v>104</v>
      </c>
      <c r="B38" s="9" t="s">
        <v>71</v>
      </c>
    </row>
    <row r="39">
      <c r="A39" s="9" t="s">
        <v>105</v>
      </c>
      <c r="B39" s="9" t="s">
        <v>71</v>
      </c>
    </row>
    <row r="40">
      <c r="A40" s="9" t="s">
        <v>106</v>
      </c>
      <c r="B40" s="9" t="s">
        <v>71</v>
      </c>
    </row>
    <row r="41">
      <c r="A41" s="9" t="s">
        <v>107</v>
      </c>
      <c r="B41" s="9" t="s">
        <v>71</v>
      </c>
    </row>
    <row r="42">
      <c r="A42" s="9" t="s">
        <v>108</v>
      </c>
      <c r="B42" s="9" t="s">
        <v>67</v>
      </c>
    </row>
    <row r="43">
      <c r="A43" s="9" t="s">
        <v>109</v>
      </c>
      <c r="B43" s="9" t="s">
        <v>71</v>
      </c>
    </row>
    <row r="44">
      <c r="A44" s="10" t="s">
        <v>110</v>
      </c>
      <c r="B44" s="10" t="s">
        <v>67</v>
      </c>
    </row>
    <row r="45">
      <c r="A45" s="9" t="s">
        <v>111</v>
      </c>
      <c r="B45" s="9" t="s">
        <v>67</v>
      </c>
    </row>
    <row r="46">
      <c r="A46" s="9" t="s">
        <v>112</v>
      </c>
      <c r="B46" s="9" t="s">
        <v>71</v>
      </c>
    </row>
    <row r="47">
      <c r="A47" s="9" t="s">
        <v>113</v>
      </c>
      <c r="B47" s="9" t="s">
        <v>67</v>
      </c>
    </row>
    <row r="48">
      <c r="A48" s="9" t="s">
        <v>114</v>
      </c>
      <c r="B48" s="9" t="s">
        <v>71</v>
      </c>
    </row>
    <row r="49">
      <c r="A49" s="9" t="s">
        <v>115</v>
      </c>
      <c r="B49" s="9" t="s">
        <v>67</v>
      </c>
    </row>
    <row r="50">
      <c r="A50" s="9" t="s">
        <v>116</v>
      </c>
      <c r="B50" s="9" t="s">
        <v>67</v>
      </c>
    </row>
    <row r="51">
      <c r="A51" s="9" t="s">
        <v>117</v>
      </c>
      <c r="B51" s="9" t="s">
        <v>67</v>
      </c>
    </row>
    <row r="52">
      <c r="A52" s="9" t="s">
        <v>118</v>
      </c>
      <c r="B52" s="9" t="s">
        <v>71</v>
      </c>
    </row>
    <row r="53">
      <c r="A53" s="9" t="s">
        <v>119</v>
      </c>
      <c r="B53" s="9" t="s">
        <v>71</v>
      </c>
    </row>
    <row r="54">
      <c r="A54" s="9" t="s">
        <v>120</v>
      </c>
      <c r="B54" s="9" t="s">
        <v>71</v>
      </c>
    </row>
    <row r="55">
      <c r="A55" s="9" t="s">
        <v>121</v>
      </c>
      <c r="B55" s="9" t="s">
        <v>71</v>
      </c>
    </row>
    <row r="56">
      <c r="A56" s="9" t="s">
        <v>122</v>
      </c>
      <c r="B56" s="9" t="s">
        <v>71</v>
      </c>
    </row>
    <row r="57">
      <c r="A57" s="9" t="s">
        <v>123</v>
      </c>
      <c r="B57" s="9" t="s">
        <v>67</v>
      </c>
    </row>
    <row r="58">
      <c r="A58" s="9" t="s">
        <v>124</v>
      </c>
      <c r="B58" s="9" t="s">
        <v>67</v>
      </c>
    </row>
    <row r="59">
      <c r="A59" s="9" t="s">
        <v>125</v>
      </c>
      <c r="B59" s="9" t="s">
        <v>71</v>
      </c>
    </row>
    <row r="60">
      <c r="A60" s="9" t="s">
        <v>126</v>
      </c>
      <c r="B60" s="9" t="s">
        <v>71</v>
      </c>
    </row>
    <row r="61">
      <c r="A61" s="9" t="s">
        <v>127</v>
      </c>
      <c r="B61" s="9" t="s">
        <v>71</v>
      </c>
    </row>
    <row r="62">
      <c r="A62" s="10" t="s">
        <v>128</v>
      </c>
      <c r="B62" s="10" t="s">
        <v>67</v>
      </c>
    </row>
    <row r="63">
      <c r="A63" s="10" t="s">
        <v>129</v>
      </c>
      <c r="B63" s="10" t="s">
        <v>67</v>
      </c>
    </row>
    <row r="64">
      <c r="A64" s="9" t="s">
        <v>130</v>
      </c>
      <c r="B64" s="9" t="s">
        <v>71</v>
      </c>
    </row>
    <row r="65">
      <c r="A65" s="9" t="s">
        <v>131</v>
      </c>
      <c r="B65" s="9" t="s">
        <v>71</v>
      </c>
    </row>
    <row r="66">
      <c r="A66" s="9" t="s">
        <v>132</v>
      </c>
      <c r="B66" s="9" t="s">
        <v>71</v>
      </c>
    </row>
    <row r="67">
      <c r="A67" s="9" t="s">
        <v>133</v>
      </c>
      <c r="B67" s="9" t="s">
        <v>67</v>
      </c>
    </row>
    <row r="68">
      <c r="A68" s="9" t="s">
        <v>134</v>
      </c>
      <c r="B68" s="9" t="s">
        <v>67</v>
      </c>
    </row>
    <row r="69">
      <c r="A69" s="9" t="s">
        <v>135</v>
      </c>
      <c r="B69" s="9" t="s">
        <v>71</v>
      </c>
    </row>
    <row r="70">
      <c r="A70" s="9" t="s">
        <v>136</v>
      </c>
      <c r="B70" s="9" t="s">
        <v>67</v>
      </c>
    </row>
    <row r="71">
      <c r="A71" s="9" t="s">
        <v>137</v>
      </c>
      <c r="B71" s="9" t="s">
        <v>67</v>
      </c>
    </row>
    <row r="72">
      <c r="A72" s="9" t="s">
        <v>138</v>
      </c>
      <c r="B72" s="9" t="s">
        <v>71</v>
      </c>
    </row>
    <row r="73">
      <c r="A73" s="9" t="s">
        <v>139</v>
      </c>
      <c r="B73" s="9" t="s">
        <v>71</v>
      </c>
    </row>
    <row r="74">
      <c r="A74" s="9" t="s">
        <v>140</v>
      </c>
      <c r="B74" s="9" t="s">
        <v>67</v>
      </c>
    </row>
    <row r="75">
      <c r="A75" s="9" t="s">
        <v>141</v>
      </c>
      <c r="B75" s="9" t="s">
        <v>71</v>
      </c>
    </row>
    <row r="76">
      <c r="A76" s="9" t="s">
        <v>142</v>
      </c>
      <c r="B76" s="9" t="s">
        <v>67</v>
      </c>
    </row>
    <row r="77">
      <c r="A77" s="9" t="s">
        <v>143</v>
      </c>
      <c r="B77" s="9" t="s">
        <v>67</v>
      </c>
    </row>
    <row r="78">
      <c r="A78" s="10" t="s">
        <v>144</v>
      </c>
      <c r="B78" s="10" t="s">
        <v>67</v>
      </c>
    </row>
    <row r="79">
      <c r="A79" s="10" t="s">
        <v>145</v>
      </c>
      <c r="B79" s="10" t="s">
        <v>67</v>
      </c>
    </row>
    <row r="80">
      <c r="A80" s="9" t="s">
        <v>146</v>
      </c>
      <c r="B80" s="9" t="s">
        <v>67</v>
      </c>
    </row>
    <row r="81">
      <c r="A81" s="9" t="s">
        <v>147</v>
      </c>
      <c r="B81" s="9" t="s">
        <v>71</v>
      </c>
    </row>
    <row r="82">
      <c r="A82" s="9" t="s">
        <v>148</v>
      </c>
      <c r="B82" s="9" t="s">
        <v>67</v>
      </c>
    </row>
    <row r="83">
      <c r="A83" s="9" t="s">
        <v>149</v>
      </c>
      <c r="B83" s="9" t="s">
        <v>71</v>
      </c>
    </row>
    <row r="84">
      <c r="A84" s="9" t="s">
        <v>150</v>
      </c>
      <c r="B84" s="9" t="s">
        <v>71</v>
      </c>
    </row>
    <row r="85">
      <c r="A85" s="9" t="s">
        <v>151</v>
      </c>
      <c r="B85" s="9" t="s">
        <v>67</v>
      </c>
    </row>
    <row r="86">
      <c r="A86" s="9" t="s">
        <v>152</v>
      </c>
      <c r="B86" s="9" t="s">
        <v>67</v>
      </c>
    </row>
    <row r="87">
      <c r="A87" s="9" t="s">
        <v>153</v>
      </c>
      <c r="B87" s="9" t="s">
        <v>67</v>
      </c>
    </row>
    <row r="88">
      <c r="A88" s="9" t="s">
        <v>154</v>
      </c>
      <c r="B88" s="9" t="s">
        <v>71</v>
      </c>
    </row>
    <row r="89">
      <c r="A89" s="9" t="s">
        <v>155</v>
      </c>
      <c r="B89" s="9" t="s">
        <v>71</v>
      </c>
    </row>
    <row r="90">
      <c r="A90" s="9" t="s">
        <v>156</v>
      </c>
      <c r="B90" s="9" t="s">
        <v>67</v>
      </c>
    </row>
    <row r="91">
      <c r="A91" s="9" t="s">
        <v>157</v>
      </c>
      <c r="B91" s="9" t="s">
        <v>67</v>
      </c>
    </row>
    <row r="92">
      <c r="A92" s="9" t="s">
        <v>158</v>
      </c>
      <c r="B92" s="9" t="s">
        <v>71</v>
      </c>
    </row>
    <row r="93">
      <c r="A93" s="9" t="s">
        <v>159</v>
      </c>
      <c r="B93" s="9" t="s">
        <v>71</v>
      </c>
    </row>
    <row r="94">
      <c r="A94" s="9" t="s">
        <v>160</v>
      </c>
      <c r="B94" s="9" t="s">
        <v>71</v>
      </c>
    </row>
    <row r="95">
      <c r="A95" s="9" t="s">
        <v>161</v>
      </c>
      <c r="B95" s="9" t="s">
        <v>67</v>
      </c>
    </row>
    <row r="96">
      <c r="A96" s="9" t="s">
        <v>162</v>
      </c>
      <c r="B96" s="9" t="s">
        <v>67</v>
      </c>
    </row>
    <row r="97">
      <c r="A97" s="9" t="s">
        <v>163</v>
      </c>
      <c r="B97" s="9" t="s">
        <v>71</v>
      </c>
    </row>
    <row r="98">
      <c r="A98" s="9" t="s">
        <v>164</v>
      </c>
      <c r="B98" s="9" t="s">
        <v>67</v>
      </c>
    </row>
    <row r="99">
      <c r="A99" s="9" t="s">
        <v>165</v>
      </c>
      <c r="B99" s="9" t="s">
        <v>71</v>
      </c>
    </row>
    <row r="100">
      <c r="A100" s="9" t="s">
        <v>166</v>
      </c>
      <c r="B100" s="9" t="s">
        <v>71</v>
      </c>
    </row>
    <row r="101">
      <c r="A101" s="9" t="s">
        <v>167</v>
      </c>
      <c r="B101" s="9" t="s">
        <v>67</v>
      </c>
    </row>
    <row r="102">
      <c r="A102" s="9" t="s">
        <v>168</v>
      </c>
      <c r="B102" s="9" t="s">
        <v>67</v>
      </c>
    </row>
    <row r="103">
      <c r="A103" s="9" t="s">
        <v>169</v>
      </c>
      <c r="B103" s="9" t="s">
        <v>71</v>
      </c>
    </row>
    <row r="104">
      <c r="A104" s="9" t="s">
        <v>170</v>
      </c>
      <c r="B104" s="9" t="s">
        <v>67</v>
      </c>
    </row>
    <row r="105">
      <c r="A105" s="9" t="s">
        <v>171</v>
      </c>
      <c r="B105" s="9" t="s">
        <v>71</v>
      </c>
    </row>
    <row r="106">
      <c r="A106" s="9" t="s">
        <v>172</v>
      </c>
      <c r="B106" s="9" t="s">
        <v>67</v>
      </c>
    </row>
    <row r="107">
      <c r="A107" s="9" t="s">
        <v>173</v>
      </c>
      <c r="B107" s="9" t="s">
        <v>71</v>
      </c>
    </row>
    <row r="108">
      <c r="A108" s="9" t="s">
        <v>174</v>
      </c>
      <c r="B108" s="9" t="s">
        <v>67</v>
      </c>
    </row>
    <row r="109">
      <c r="A109" s="9" t="s">
        <v>175</v>
      </c>
      <c r="B109" s="9" t="s">
        <v>67</v>
      </c>
    </row>
    <row r="110">
      <c r="A110" s="9" t="s">
        <v>176</v>
      </c>
      <c r="B110" s="9" t="s">
        <v>71</v>
      </c>
    </row>
    <row r="111">
      <c r="A111" s="9" t="s">
        <v>177</v>
      </c>
      <c r="B111" s="9" t="s">
        <v>67</v>
      </c>
    </row>
    <row r="112">
      <c r="A112" s="9" t="s">
        <v>178</v>
      </c>
      <c r="B112" s="9" t="s">
        <v>67</v>
      </c>
    </row>
    <row r="113">
      <c r="A113" s="9" t="s">
        <v>179</v>
      </c>
      <c r="B113" s="9" t="s">
        <v>67</v>
      </c>
    </row>
    <row r="114">
      <c r="A114" s="9" t="s">
        <v>180</v>
      </c>
      <c r="B114" s="9" t="s">
        <v>67</v>
      </c>
    </row>
    <row r="115">
      <c r="A115" s="9" t="s">
        <v>181</v>
      </c>
      <c r="B115" s="9" t="s">
        <v>71</v>
      </c>
    </row>
    <row r="116">
      <c r="A116" s="9" t="s">
        <v>182</v>
      </c>
      <c r="B116" s="9" t="s">
        <v>67</v>
      </c>
    </row>
    <row r="117">
      <c r="A117" s="9" t="s">
        <v>183</v>
      </c>
      <c r="B117" s="9" t="s">
        <v>71</v>
      </c>
    </row>
    <row r="118">
      <c r="A118" s="9" t="s">
        <v>184</v>
      </c>
      <c r="B118" s="9" t="s">
        <v>71</v>
      </c>
    </row>
    <row r="119">
      <c r="A119" s="9" t="s">
        <v>185</v>
      </c>
      <c r="B119" s="9" t="s">
        <v>71</v>
      </c>
    </row>
    <row r="120">
      <c r="A120" s="9" t="s">
        <v>186</v>
      </c>
      <c r="B120" s="9" t="s">
        <v>67</v>
      </c>
    </row>
    <row r="121">
      <c r="A121" s="9" t="s">
        <v>187</v>
      </c>
      <c r="B121" s="9" t="s">
        <v>67</v>
      </c>
    </row>
    <row r="122">
      <c r="A122" s="9" t="s">
        <v>188</v>
      </c>
      <c r="B122" s="9" t="s">
        <v>67</v>
      </c>
    </row>
    <row r="123">
      <c r="A123" s="9" t="s">
        <v>189</v>
      </c>
      <c r="B123" s="9" t="s">
        <v>71</v>
      </c>
    </row>
    <row r="124">
      <c r="A124" s="9" t="s">
        <v>190</v>
      </c>
      <c r="B124" s="9" t="s">
        <v>71</v>
      </c>
    </row>
    <row r="125">
      <c r="A125" s="9" t="s">
        <v>191</v>
      </c>
      <c r="B125" s="9" t="s">
        <v>67</v>
      </c>
    </row>
    <row r="126">
      <c r="A126" s="9" t="s">
        <v>192</v>
      </c>
      <c r="B126" s="9" t="s">
        <v>71</v>
      </c>
    </row>
    <row r="127">
      <c r="A127" s="9" t="s">
        <v>193</v>
      </c>
      <c r="B127" s="9" t="s">
        <v>71</v>
      </c>
    </row>
    <row r="128">
      <c r="A128" s="9" t="s">
        <v>194</v>
      </c>
      <c r="B128" s="9" t="s">
        <v>67</v>
      </c>
    </row>
    <row r="129">
      <c r="A129" s="9" t="s">
        <v>195</v>
      </c>
      <c r="B129" s="9" t="s">
        <v>71</v>
      </c>
    </row>
    <row r="130">
      <c r="A130" s="9" t="s">
        <v>196</v>
      </c>
      <c r="B130" s="9" t="s">
        <v>67</v>
      </c>
    </row>
    <row r="131">
      <c r="A131" s="9" t="s">
        <v>197</v>
      </c>
      <c r="B131" s="9" t="s">
        <v>67</v>
      </c>
    </row>
    <row r="132">
      <c r="A132" s="9" t="s">
        <v>198</v>
      </c>
      <c r="B132" s="9" t="s">
        <v>67</v>
      </c>
    </row>
    <row r="133">
      <c r="A133" s="9" t="s">
        <v>199</v>
      </c>
      <c r="B133" s="9" t="s">
        <v>71</v>
      </c>
    </row>
    <row r="134">
      <c r="A134" s="9" t="s">
        <v>200</v>
      </c>
      <c r="B134" s="9" t="s">
        <v>71</v>
      </c>
    </row>
    <row r="135">
      <c r="A135" s="9" t="s">
        <v>201</v>
      </c>
      <c r="B135" s="9" t="s">
        <v>71</v>
      </c>
    </row>
    <row r="136">
      <c r="A136" s="9" t="s">
        <v>202</v>
      </c>
      <c r="B136" s="9" t="s">
        <v>67</v>
      </c>
    </row>
    <row r="137">
      <c r="A137" s="9" t="s">
        <v>203</v>
      </c>
      <c r="B137" s="9" t="s">
        <v>67</v>
      </c>
    </row>
    <row r="138">
      <c r="A138" s="9" t="s">
        <v>204</v>
      </c>
      <c r="B138" s="9" t="s">
        <v>67</v>
      </c>
    </row>
    <row r="139">
      <c r="A139" s="9" t="s">
        <v>205</v>
      </c>
      <c r="B139" s="9" t="s">
        <v>71</v>
      </c>
    </row>
    <row r="140">
      <c r="A140" s="9" t="s">
        <v>206</v>
      </c>
      <c r="B140" s="9" t="s">
        <v>67</v>
      </c>
    </row>
    <row r="141">
      <c r="A141" s="9" t="s">
        <v>207</v>
      </c>
      <c r="B141" s="9" t="s">
        <v>67</v>
      </c>
    </row>
    <row r="142">
      <c r="A142" s="9" t="s">
        <v>208</v>
      </c>
      <c r="B142" s="9" t="s">
        <v>67</v>
      </c>
    </row>
    <row r="143">
      <c r="A143" s="9" t="s">
        <v>209</v>
      </c>
      <c r="B143" s="9" t="s">
        <v>67</v>
      </c>
    </row>
    <row r="144">
      <c r="A144" s="9" t="s">
        <v>210</v>
      </c>
      <c r="B144" s="9" t="s">
        <v>67</v>
      </c>
    </row>
    <row r="145">
      <c r="A145" s="9" t="s">
        <v>211</v>
      </c>
      <c r="B145" s="9" t="s">
        <v>71</v>
      </c>
    </row>
    <row r="146">
      <c r="A146" s="9" t="s">
        <v>212</v>
      </c>
      <c r="B146" s="9" t="s">
        <v>67</v>
      </c>
    </row>
    <row r="147">
      <c r="A147" s="9" t="s">
        <v>213</v>
      </c>
      <c r="B147" s="9" t="s">
        <v>67</v>
      </c>
    </row>
    <row r="148">
      <c r="A148" s="9" t="s">
        <v>214</v>
      </c>
      <c r="B148" s="9" t="s">
        <v>67</v>
      </c>
    </row>
    <row r="149">
      <c r="A149" s="9" t="s">
        <v>215</v>
      </c>
      <c r="B149" s="9" t="s">
        <v>71</v>
      </c>
    </row>
    <row r="150">
      <c r="A150" s="9" t="s">
        <v>216</v>
      </c>
      <c r="B150" s="9" t="s">
        <v>71</v>
      </c>
    </row>
    <row r="151">
      <c r="A151" s="9" t="s">
        <v>217</v>
      </c>
      <c r="B151" s="9" t="s">
        <v>67</v>
      </c>
    </row>
    <row r="152">
      <c r="A152" s="9" t="s">
        <v>218</v>
      </c>
      <c r="B152" s="9" t="s">
        <v>67</v>
      </c>
    </row>
    <row r="153">
      <c r="A153" s="9" t="s">
        <v>219</v>
      </c>
      <c r="B153" s="9" t="s">
        <v>71</v>
      </c>
    </row>
    <row r="154">
      <c r="A154" s="9" t="s">
        <v>220</v>
      </c>
      <c r="B154" s="9" t="s">
        <v>67</v>
      </c>
    </row>
    <row r="155">
      <c r="A155" s="9" t="s">
        <v>221</v>
      </c>
      <c r="B155" s="9" t="s">
        <v>71</v>
      </c>
    </row>
    <row r="156">
      <c r="A156" s="9" t="s">
        <v>222</v>
      </c>
      <c r="B156" s="9" t="s">
        <v>71</v>
      </c>
    </row>
    <row r="157">
      <c r="A157" s="9" t="s">
        <v>223</v>
      </c>
      <c r="B157" s="9" t="s">
        <v>67</v>
      </c>
    </row>
    <row r="158">
      <c r="A158" s="9" t="s">
        <v>224</v>
      </c>
      <c r="B158" s="9" t="s">
        <v>71</v>
      </c>
    </row>
    <row r="159">
      <c r="A159" s="9" t="s">
        <v>225</v>
      </c>
      <c r="B159" s="9" t="s">
        <v>71</v>
      </c>
    </row>
    <row r="160">
      <c r="A160" s="9" t="s">
        <v>226</v>
      </c>
      <c r="B160" s="9" t="s">
        <v>71</v>
      </c>
    </row>
    <row r="161">
      <c r="A161" s="9" t="s">
        <v>227</v>
      </c>
      <c r="B161" s="9" t="s">
        <v>67</v>
      </c>
    </row>
    <row r="162">
      <c r="A162" s="11" t="s">
        <v>228</v>
      </c>
      <c r="B162" s="11" t="s">
        <v>67</v>
      </c>
    </row>
    <row r="163">
      <c r="A163" s="11" t="s">
        <v>229</v>
      </c>
      <c r="B163" s="11" t="s">
        <v>67</v>
      </c>
    </row>
    <row r="164">
      <c r="A164" s="9" t="s">
        <v>230</v>
      </c>
      <c r="B164" s="9" t="s">
        <v>67</v>
      </c>
    </row>
    <row r="165">
      <c r="A165" s="9" t="s">
        <v>231</v>
      </c>
      <c r="B165" s="9" t="s">
        <v>67</v>
      </c>
    </row>
    <row r="166">
      <c r="A166" s="9" t="s">
        <v>232</v>
      </c>
      <c r="B166" s="9" t="s">
        <v>67</v>
      </c>
    </row>
    <row r="167">
      <c r="A167" s="9" t="s">
        <v>233</v>
      </c>
      <c r="B167" s="9" t="s">
        <v>71</v>
      </c>
    </row>
    <row r="168">
      <c r="A168" s="9" t="s">
        <v>234</v>
      </c>
      <c r="B168" s="9" t="s">
        <v>67</v>
      </c>
    </row>
    <row r="169">
      <c r="A169" s="9" t="s">
        <v>235</v>
      </c>
      <c r="B169" s="9" t="s">
        <v>67</v>
      </c>
    </row>
    <row r="170">
      <c r="A170" s="9" t="s">
        <v>236</v>
      </c>
      <c r="B170" s="9" t="s">
        <v>67</v>
      </c>
    </row>
    <row r="171">
      <c r="A171" s="9" t="s">
        <v>237</v>
      </c>
      <c r="B171" s="9" t="s">
        <v>71</v>
      </c>
    </row>
    <row r="172">
      <c r="A172" s="9" t="s">
        <v>238</v>
      </c>
      <c r="B172" s="9" t="s">
        <v>71</v>
      </c>
    </row>
    <row r="173">
      <c r="A173" s="9" t="s">
        <v>239</v>
      </c>
      <c r="B173" s="9" t="s">
        <v>71</v>
      </c>
    </row>
    <row r="174">
      <c r="A174" s="9" t="s">
        <v>240</v>
      </c>
      <c r="B174" s="9" t="s">
        <v>71</v>
      </c>
    </row>
    <row r="175">
      <c r="A175" s="9" t="s">
        <v>241</v>
      </c>
      <c r="B175" s="9" t="s">
        <v>67</v>
      </c>
    </row>
    <row r="176">
      <c r="A176" s="9" t="s">
        <v>242</v>
      </c>
      <c r="B176" s="9" t="s">
        <v>67</v>
      </c>
    </row>
    <row r="177">
      <c r="A177" s="9" t="s">
        <v>243</v>
      </c>
      <c r="B177" s="9" t="s">
        <v>67</v>
      </c>
    </row>
    <row r="178">
      <c r="A178" s="9" t="s">
        <v>244</v>
      </c>
      <c r="B178" s="9" t="s">
        <v>67</v>
      </c>
    </row>
    <row r="179">
      <c r="A179" s="9" t="s">
        <v>245</v>
      </c>
      <c r="B179" s="9" t="s">
        <v>67</v>
      </c>
    </row>
    <row r="180">
      <c r="A180" s="9" t="s">
        <v>246</v>
      </c>
      <c r="B180" s="9" t="s">
        <v>67</v>
      </c>
    </row>
    <row r="181">
      <c r="A181" s="9" t="s">
        <v>247</v>
      </c>
      <c r="B181" s="9" t="s">
        <v>67</v>
      </c>
    </row>
    <row r="182">
      <c r="A182" s="9" t="s">
        <v>248</v>
      </c>
      <c r="B182" s="9" t="s">
        <v>67</v>
      </c>
    </row>
    <row r="183">
      <c r="A183" s="9" t="s">
        <v>249</v>
      </c>
      <c r="B183" s="9" t="s">
        <v>67</v>
      </c>
    </row>
    <row r="184">
      <c r="A184" s="9" t="s">
        <v>250</v>
      </c>
      <c r="B184" s="9" t="s">
        <v>67</v>
      </c>
    </row>
    <row r="185">
      <c r="A185" s="9" t="s">
        <v>251</v>
      </c>
      <c r="B185" s="9" t="s">
        <v>67</v>
      </c>
    </row>
    <row r="186">
      <c r="A186" s="9" t="s">
        <v>252</v>
      </c>
      <c r="B186" s="9" t="s">
        <v>67</v>
      </c>
    </row>
    <row r="187">
      <c r="A187" s="9" t="s">
        <v>253</v>
      </c>
      <c r="B187" s="9" t="s">
        <v>67</v>
      </c>
    </row>
    <row r="188">
      <c r="A188" s="9" t="s">
        <v>254</v>
      </c>
      <c r="B188" s="9" t="s">
        <v>67</v>
      </c>
    </row>
    <row r="189">
      <c r="A189" s="9" t="s">
        <v>255</v>
      </c>
      <c r="B189" s="9" t="s">
        <v>67</v>
      </c>
    </row>
    <row r="190">
      <c r="A190" s="9" t="s">
        <v>256</v>
      </c>
      <c r="B190" s="9" t="s">
        <v>67</v>
      </c>
    </row>
    <row r="191">
      <c r="A191" s="9" t="s">
        <v>257</v>
      </c>
      <c r="B191" s="9" t="s">
        <v>67</v>
      </c>
    </row>
    <row r="192">
      <c r="A192" s="9" t="s">
        <v>258</v>
      </c>
      <c r="B192" s="9" t="s">
        <v>67</v>
      </c>
    </row>
    <row r="193">
      <c r="A193" s="9" t="s">
        <v>259</v>
      </c>
      <c r="B193" s="9" t="s">
        <v>67</v>
      </c>
    </row>
    <row r="194">
      <c r="A194" s="9" t="s">
        <v>260</v>
      </c>
      <c r="B194" s="9" t="s">
        <v>67</v>
      </c>
    </row>
    <row r="195">
      <c r="A195" s="9" t="s">
        <v>261</v>
      </c>
      <c r="B195" s="9" t="s">
        <v>67</v>
      </c>
    </row>
    <row r="196">
      <c r="A196" s="9" t="s">
        <v>262</v>
      </c>
      <c r="B196" s="9" t="s">
        <v>67</v>
      </c>
    </row>
    <row r="197">
      <c r="A197" s="9" t="s">
        <v>263</v>
      </c>
      <c r="B197" s="9" t="s">
        <v>67</v>
      </c>
    </row>
    <row r="198">
      <c r="A198" s="9" t="s">
        <v>264</v>
      </c>
      <c r="B198" s="9" t="s">
        <v>67</v>
      </c>
    </row>
    <row r="199">
      <c r="A199" s="9" t="s">
        <v>265</v>
      </c>
      <c r="B199" s="9" t="s">
        <v>67</v>
      </c>
    </row>
    <row r="200">
      <c r="A200" s="9" t="s">
        <v>266</v>
      </c>
      <c r="B200" s="9" t="s">
        <v>67</v>
      </c>
    </row>
    <row r="201">
      <c r="A201" s="9" t="s">
        <v>267</v>
      </c>
      <c r="B201" s="9" t="s">
        <v>67</v>
      </c>
    </row>
  </sheetData>
  <autoFilter ref="$A$1:$B$20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3" max="23" width="62.75"/>
  </cols>
  <sheetData>
    <row r="1">
      <c r="A1" s="12" t="s">
        <v>268</v>
      </c>
      <c r="B1" s="13" t="s">
        <v>64</v>
      </c>
      <c r="C1" s="13" t="s">
        <v>269</v>
      </c>
      <c r="D1" s="13" t="s">
        <v>270</v>
      </c>
      <c r="E1" s="13" t="s">
        <v>271</v>
      </c>
      <c r="F1" s="13" t="s">
        <v>272</v>
      </c>
      <c r="G1" s="13" t="s">
        <v>65</v>
      </c>
      <c r="H1" s="13" t="s">
        <v>273</v>
      </c>
      <c r="I1" s="14" t="s">
        <v>274</v>
      </c>
      <c r="J1" s="14" t="s">
        <v>275</v>
      </c>
      <c r="K1" s="15" t="s">
        <v>276</v>
      </c>
      <c r="L1" s="15" t="s">
        <v>277</v>
      </c>
      <c r="M1" s="16" t="s">
        <v>278</v>
      </c>
      <c r="N1" s="16" t="s">
        <v>279</v>
      </c>
      <c r="O1" s="16" t="s">
        <v>280</v>
      </c>
      <c r="P1" s="14" t="s">
        <v>281</v>
      </c>
      <c r="Q1" s="16" t="s">
        <v>282</v>
      </c>
      <c r="R1" s="17" t="s">
        <v>283</v>
      </c>
      <c r="S1" s="3" t="s">
        <v>284</v>
      </c>
      <c r="T1" s="3" t="s">
        <v>285</v>
      </c>
      <c r="V1" s="3" t="s">
        <v>286</v>
      </c>
      <c r="W1" s="3" t="s">
        <v>287</v>
      </c>
      <c r="X1" s="18" t="s">
        <v>288</v>
      </c>
      <c r="Y1" s="19" t="s">
        <v>71</v>
      </c>
      <c r="Z1" s="20" t="s">
        <v>67</v>
      </c>
      <c r="AA1" s="3"/>
      <c r="AB1" s="3">
        <f>SUM(I:I)</f>
        <v>291</v>
      </c>
      <c r="AC1" s="9">
        <f t="shared" ref="AC1:AD1" si="1">SUMIFS($I:$I,$G:$G,Y1)</f>
        <v>172</v>
      </c>
      <c r="AD1" s="9">
        <f t="shared" si="1"/>
        <v>119</v>
      </c>
      <c r="AE1" s="9"/>
    </row>
    <row r="2">
      <c r="A2" s="18">
        <v>1.0</v>
      </c>
      <c r="B2" s="9" t="s">
        <v>66</v>
      </c>
      <c r="C2" s="9" t="s">
        <v>289</v>
      </c>
      <c r="D2" s="21">
        <v>2024.0</v>
      </c>
      <c r="E2" s="21">
        <v>-1.0</v>
      </c>
      <c r="F2" s="9" t="s">
        <v>290</v>
      </c>
      <c r="G2" s="9" t="s">
        <v>71</v>
      </c>
      <c r="H2" s="9" t="s">
        <v>291</v>
      </c>
      <c r="I2" s="22">
        <f t="shared" ref="I2:I201" si="4">LEN(H2)-LEN(SUBSTITUTE(H2,",",""))+1</f>
        <v>2</v>
      </c>
      <c r="J2" s="23" t="b">
        <v>1</v>
      </c>
      <c r="K2" s="23" t="b">
        <v>0</v>
      </c>
      <c r="L2" s="23" t="b">
        <v>0</v>
      </c>
      <c r="M2" s="23" t="b">
        <v>1</v>
      </c>
      <c r="N2" s="23" t="b">
        <v>1</v>
      </c>
      <c r="O2" s="23" t="b">
        <v>0</v>
      </c>
      <c r="P2" s="9"/>
      <c r="Q2" s="9"/>
      <c r="R2" s="22"/>
      <c r="T2" s="24" t="str">
        <f t="shared" ref="T2:T201" si="5">IFERROR(IFS(K2=FALSE,"IC III",L2=FALSE,"IC IV",M2=TRUE,"EC I",N2=TRUE,"EC II",O2=TRUE,"EC III",R2&gt;0,"EC IV",Q2=TRUE,"EC V",S2&lt;&gt;"","SA"),"OK")</f>
        <v>IC III</v>
      </c>
      <c r="V2" s="3" t="s">
        <v>292</v>
      </c>
      <c r="W2" s="3" t="s">
        <v>293</v>
      </c>
      <c r="X2" s="22">
        <f t="shared" ref="X2:X6" si="6">SUMIFS(I:I,T:T,V2)</f>
        <v>49</v>
      </c>
      <c r="Y2" s="22">
        <f t="shared" ref="Y2:Z2" si="2">SUMIFS($I:$I,$T:$T,$V2,$G:$G,Y$1)</f>
        <v>40</v>
      </c>
      <c r="Z2" s="22">
        <f t="shared" si="2"/>
        <v>9</v>
      </c>
      <c r="AB2" s="24">
        <f t="shared" ref="AB2:AD2" si="3">AB1-X2</f>
        <v>242</v>
      </c>
      <c r="AC2" s="24">
        <f t="shared" si="3"/>
        <v>132</v>
      </c>
      <c r="AD2" s="24">
        <f t="shared" si="3"/>
        <v>110</v>
      </c>
    </row>
    <row r="3">
      <c r="A3" s="20">
        <f t="shared" ref="A3:A201" si="9">A2+1</f>
        <v>2</v>
      </c>
      <c r="B3" s="9" t="s">
        <v>68</v>
      </c>
      <c r="C3" s="9" t="s">
        <v>294</v>
      </c>
      <c r="D3" s="21">
        <v>2024.0</v>
      </c>
      <c r="E3" s="21">
        <v>2.0</v>
      </c>
      <c r="F3" s="9" t="s">
        <v>295</v>
      </c>
      <c r="G3" s="9" t="s">
        <v>67</v>
      </c>
      <c r="H3" s="9" t="s">
        <v>296</v>
      </c>
      <c r="I3" s="22">
        <f t="shared" si="4"/>
        <v>1</v>
      </c>
      <c r="J3" s="23" t="b">
        <v>1</v>
      </c>
      <c r="K3" s="23" t="b">
        <v>1</v>
      </c>
      <c r="L3" s="23" t="b">
        <v>1</v>
      </c>
      <c r="M3" s="23" t="b">
        <v>0</v>
      </c>
      <c r="N3" s="23" t="b">
        <v>0</v>
      </c>
      <c r="O3" s="23" t="b">
        <v>0</v>
      </c>
      <c r="P3" s="23" t="b">
        <v>1</v>
      </c>
      <c r="Q3" s="23" t="b">
        <v>1</v>
      </c>
      <c r="R3" s="22"/>
      <c r="T3" s="24" t="str">
        <f t="shared" si="5"/>
        <v>EC V</v>
      </c>
      <c r="V3" s="3" t="s">
        <v>297</v>
      </c>
      <c r="W3" s="3" t="s">
        <v>298</v>
      </c>
      <c r="X3" s="22">
        <f t="shared" si="6"/>
        <v>192</v>
      </c>
      <c r="Y3" s="22">
        <f t="shared" ref="Y3:Z3" si="7">SUMIFS($I:$I,$T:$T,$V3,$G:$G,Y$1)</f>
        <v>120</v>
      </c>
      <c r="Z3" s="22">
        <f t="shared" si="7"/>
        <v>72</v>
      </c>
      <c r="AB3" s="24">
        <f t="shared" ref="AB3:AD3" si="8">AB2-X3</f>
        <v>50</v>
      </c>
      <c r="AC3" s="24">
        <f t="shared" si="8"/>
        <v>12</v>
      </c>
      <c r="AD3" s="24">
        <f t="shared" si="8"/>
        <v>38</v>
      </c>
    </row>
    <row r="4">
      <c r="A4" s="20">
        <f t="shared" si="9"/>
        <v>3</v>
      </c>
      <c r="B4" s="9" t="s">
        <v>69</v>
      </c>
      <c r="C4" s="9" t="s">
        <v>299</v>
      </c>
      <c r="D4" s="21">
        <v>2025.0</v>
      </c>
      <c r="E4" s="21">
        <v>1.0</v>
      </c>
      <c r="F4" s="9" t="s">
        <v>300</v>
      </c>
      <c r="G4" s="9" t="s">
        <v>67</v>
      </c>
      <c r="H4" s="9" t="s">
        <v>296</v>
      </c>
      <c r="I4" s="22">
        <f t="shared" si="4"/>
        <v>1</v>
      </c>
      <c r="J4" s="23" t="b">
        <v>1</v>
      </c>
      <c r="K4" s="23" t="b">
        <v>1</v>
      </c>
      <c r="L4" s="23" t="b">
        <v>1</v>
      </c>
      <c r="M4" s="23" t="b">
        <v>0</v>
      </c>
      <c r="N4" s="23" t="b">
        <v>0</v>
      </c>
      <c r="O4" s="23" t="b">
        <v>0</v>
      </c>
      <c r="P4" s="23" t="b">
        <v>1</v>
      </c>
      <c r="Q4" s="23" t="b">
        <v>1</v>
      </c>
      <c r="R4" s="22"/>
      <c r="T4" s="24" t="str">
        <f t="shared" si="5"/>
        <v>EC V</v>
      </c>
      <c r="V4" s="3" t="s">
        <v>301</v>
      </c>
      <c r="W4" s="3" t="s">
        <v>302</v>
      </c>
      <c r="X4" s="22">
        <f t="shared" si="6"/>
        <v>1</v>
      </c>
      <c r="Y4" s="22">
        <f t="shared" ref="Y4:Z4" si="10">SUMIFS($I:$I,$T:$T,$V4,$G:$G,Y$1)</f>
        <v>1</v>
      </c>
      <c r="Z4" s="22">
        <f t="shared" si="10"/>
        <v>0</v>
      </c>
      <c r="AB4" s="24">
        <f t="shared" ref="AB4:AD4" si="11">AB3-X4</f>
        <v>49</v>
      </c>
      <c r="AC4" s="24">
        <f t="shared" si="11"/>
        <v>11</v>
      </c>
      <c r="AD4" s="24">
        <f t="shared" si="11"/>
        <v>38</v>
      </c>
    </row>
    <row r="5">
      <c r="A5" s="20">
        <f t="shared" si="9"/>
        <v>4</v>
      </c>
      <c r="B5" s="9" t="s">
        <v>70</v>
      </c>
      <c r="C5" s="9" t="s">
        <v>303</v>
      </c>
      <c r="D5" s="21">
        <v>2025.0</v>
      </c>
      <c r="E5" s="21">
        <v>-1.0</v>
      </c>
      <c r="F5" s="9" t="s">
        <v>290</v>
      </c>
      <c r="G5" s="9" t="s">
        <v>71</v>
      </c>
      <c r="H5" s="9" t="s">
        <v>304</v>
      </c>
      <c r="I5" s="22">
        <f t="shared" si="4"/>
        <v>5</v>
      </c>
      <c r="J5" s="23" t="b">
        <v>1</v>
      </c>
      <c r="K5" s="23" t="b">
        <v>1</v>
      </c>
      <c r="L5" s="23" t="b">
        <v>0</v>
      </c>
      <c r="M5" s="23" t="b">
        <v>1</v>
      </c>
      <c r="N5" s="23" t="b">
        <v>0</v>
      </c>
      <c r="O5" s="23" t="b">
        <v>0</v>
      </c>
      <c r="P5" s="9"/>
      <c r="Q5" s="9"/>
      <c r="R5" s="22"/>
      <c r="T5" s="24" t="str">
        <f t="shared" si="5"/>
        <v>IC IV</v>
      </c>
      <c r="V5" s="3" t="s">
        <v>305</v>
      </c>
      <c r="W5" s="3" t="s">
        <v>306</v>
      </c>
      <c r="X5" s="22">
        <f t="shared" si="6"/>
        <v>0</v>
      </c>
      <c r="Y5" s="22">
        <f t="shared" ref="Y5:Z5" si="12">SUMIFS($I:$I,$T:$T,$V5,$G:$G,Y$1)</f>
        <v>0</v>
      </c>
      <c r="Z5" s="22">
        <f t="shared" si="12"/>
        <v>0</v>
      </c>
      <c r="AB5" s="24">
        <f t="shared" ref="AB5:AD5" si="13">AB4-X5</f>
        <v>49</v>
      </c>
      <c r="AC5" s="24">
        <f t="shared" si="13"/>
        <v>11</v>
      </c>
      <c r="AD5" s="24">
        <f t="shared" si="13"/>
        <v>38</v>
      </c>
    </row>
    <row r="6">
      <c r="A6" s="20">
        <f t="shared" si="9"/>
        <v>5</v>
      </c>
      <c r="B6" s="9" t="s">
        <v>72</v>
      </c>
      <c r="C6" s="9" t="s">
        <v>307</v>
      </c>
      <c r="D6" s="21">
        <v>2024.0</v>
      </c>
      <c r="E6" s="21">
        <v>-1.0</v>
      </c>
      <c r="F6" s="9" t="s">
        <v>290</v>
      </c>
      <c r="G6" s="9" t="s">
        <v>71</v>
      </c>
      <c r="H6" s="9" t="s">
        <v>308</v>
      </c>
      <c r="I6" s="22">
        <f t="shared" si="4"/>
        <v>2</v>
      </c>
      <c r="J6" s="23" t="b">
        <v>1</v>
      </c>
      <c r="K6" s="23" t="b">
        <v>1</v>
      </c>
      <c r="L6" s="23" t="b">
        <v>0</v>
      </c>
      <c r="M6" s="23" t="b">
        <v>1</v>
      </c>
      <c r="N6" s="23" t="b">
        <v>0</v>
      </c>
      <c r="O6" s="23" t="b">
        <v>0</v>
      </c>
      <c r="P6" s="9"/>
      <c r="Q6" s="9"/>
      <c r="R6" s="22"/>
      <c r="T6" s="24" t="str">
        <f t="shared" si="5"/>
        <v>IC IV</v>
      </c>
      <c r="V6" s="3" t="s">
        <v>309</v>
      </c>
      <c r="W6" s="3" t="s">
        <v>310</v>
      </c>
      <c r="X6" s="22">
        <f t="shared" si="6"/>
        <v>0</v>
      </c>
      <c r="Y6" s="22">
        <f t="shared" ref="Y6:Z6" si="14">SUMIFS($I:$I,$T:$T,$V6,$G:$G,Y$1)</f>
        <v>0</v>
      </c>
      <c r="Z6" s="22">
        <f t="shared" si="14"/>
        <v>0</v>
      </c>
      <c r="AB6" s="24">
        <f t="shared" ref="AB6:AD6" si="15">AB5-X6</f>
        <v>49</v>
      </c>
      <c r="AC6" s="24">
        <f t="shared" si="15"/>
        <v>11</v>
      </c>
      <c r="AD6" s="24">
        <f t="shared" si="15"/>
        <v>38</v>
      </c>
    </row>
    <row r="7">
      <c r="A7" s="20">
        <f t="shared" si="9"/>
        <v>6</v>
      </c>
      <c r="B7" s="9" t="s">
        <v>73</v>
      </c>
      <c r="C7" s="9" t="s">
        <v>311</v>
      </c>
      <c r="D7" s="21">
        <v>2023.0</v>
      </c>
      <c r="E7" s="21">
        <v>120.0</v>
      </c>
      <c r="F7" s="9" t="s">
        <v>312</v>
      </c>
      <c r="G7" s="9" t="s">
        <v>67</v>
      </c>
      <c r="H7" s="9" t="s">
        <v>313</v>
      </c>
      <c r="I7" s="22">
        <f t="shared" si="4"/>
        <v>1</v>
      </c>
      <c r="J7" s="23" t="b">
        <v>1</v>
      </c>
      <c r="K7" s="23" t="b">
        <v>1</v>
      </c>
      <c r="L7" s="23" t="b">
        <v>1</v>
      </c>
      <c r="M7" s="23" t="b">
        <v>0</v>
      </c>
      <c r="N7" s="23" t="b">
        <v>0</v>
      </c>
      <c r="O7" s="23" t="b">
        <v>0</v>
      </c>
      <c r="P7" s="23" t="b">
        <v>1</v>
      </c>
      <c r="Q7" s="23" t="b">
        <v>1</v>
      </c>
      <c r="R7" s="22"/>
      <c r="T7" s="24" t="str">
        <f t="shared" si="5"/>
        <v>EC V</v>
      </c>
      <c r="V7" s="3" t="s">
        <v>314</v>
      </c>
      <c r="W7" s="3" t="s">
        <v>315</v>
      </c>
      <c r="X7" s="22">
        <f>SUMIFS(I:I,T:T,V7)+SUM(X13:X15)</f>
        <v>8</v>
      </c>
      <c r="Y7" s="22">
        <f>SUMIFS($I:$I,$T:$T,$V7,$G:$G,Y$1)+sum(Y13:Y15)</f>
        <v>5</v>
      </c>
      <c r="Z7" s="22">
        <f>SUMIFS($I:$I,$T:$T,$V7,$G:$G,Z$1)+SUM(Z13:Z15)</f>
        <v>3</v>
      </c>
      <c r="AB7" s="24">
        <f t="shared" ref="AB7:AD7" si="16">AB6-X7</f>
        <v>41</v>
      </c>
      <c r="AC7" s="24">
        <f t="shared" si="16"/>
        <v>6</v>
      </c>
      <c r="AD7" s="24">
        <f t="shared" si="16"/>
        <v>35</v>
      </c>
    </row>
    <row r="8">
      <c r="A8" s="20">
        <f t="shared" si="9"/>
        <v>7</v>
      </c>
      <c r="B8" s="9" t="s">
        <v>74</v>
      </c>
      <c r="C8" s="9" t="s">
        <v>316</v>
      </c>
      <c r="D8" s="21">
        <v>2023.0</v>
      </c>
      <c r="E8" s="21">
        <v>-1.0</v>
      </c>
      <c r="F8" s="9" t="s">
        <v>290</v>
      </c>
      <c r="G8" s="9" t="s">
        <v>71</v>
      </c>
      <c r="H8" s="9" t="s">
        <v>296</v>
      </c>
      <c r="I8" s="22">
        <f t="shared" si="4"/>
        <v>1</v>
      </c>
      <c r="J8" s="23" t="b">
        <v>1</v>
      </c>
      <c r="K8" s="23" t="b">
        <v>1</v>
      </c>
      <c r="L8" s="23" t="b">
        <v>0</v>
      </c>
      <c r="M8" s="23" t="b">
        <v>1</v>
      </c>
      <c r="N8" s="23" t="b">
        <v>0</v>
      </c>
      <c r="O8" s="23" t="b">
        <v>1</v>
      </c>
      <c r="P8" s="9"/>
      <c r="Q8" s="9"/>
      <c r="R8" s="22"/>
      <c r="T8" s="24" t="str">
        <f t="shared" si="5"/>
        <v>IC IV</v>
      </c>
      <c r="V8" s="3" t="s">
        <v>317</v>
      </c>
      <c r="W8" s="25" t="s">
        <v>318</v>
      </c>
      <c r="X8" s="22">
        <f t="shared" ref="X8:X10" si="19">COUNTIFS(T:T,V8)</f>
        <v>15</v>
      </c>
      <c r="Y8" s="22">
        <f t="shared" ref="Y8:Z8" si="17">COUNTIFS($T:$T,$V8,$G:$G,Y$1)</f>
        <v>3</v>
      </c>
      <c r="Z8" s="22">
        <f t="shared" si="17"/>
        <v>12</v>
      </c>
      <c r="AB8" s="24">
        <f t="shared" ref="AB8:AD8" si="18">AB7-X8</f>
        <v>26</v>
      </c>
      <c r="AC8" s="24">
        <f t="shared" si="18"/>
        <v>3</v>
      </c>
      <c r="AD8" s="24">
        <f t="shared" si="18"/>
        <v>23</v>
      </c>
    </row>
    <row r="9">
      <c r="A9" s="20">
        <f t="shared" si="9"/>
        <v>8</v>
      </c>
      <c r="B9" s="9" t="s">
        <v>75</v>
      </c>
      <c r="C9" s="9" t="s">
        <v>319</v>
      </c>
      <c r="D9" s="21">
        <v>2025.0</v>
      </c>
      <c r="E9" s="21">
        <v>-1.0</v>
      </c>
      <c r="F9" s="9" t="s">
        <v>290</v>
      </c>
      <c r="G9" s="9" t="s">
        <v>71</v>
      </c>
      <c r="H9" s="9" t="s">
        <v>320</v>
      </c>
      <c r="I9" s="22">
        <f t="shared" si="4"/>
        <v>1</v>
      </c>
      <c r="J9" s="23" t="b">
        <v>1</v>
      </c>
      <c r="K9" s="23" t="b">
        <v>0</v>
      </c>
      <c r="L9" s="23" t="b">
        <v>0</v>
      </c>
      <c r="M9" s="23" t="b">
        <v>1</v>
      </c>
      <c r="N9" s="23" t="b">
        <v>0</v>
      </c>
      <c r="O9" s="23" t="b">
        <v>1</v>
      </c>
      <c r="P9" s="9"/>
      <c r="Q9" s="9"/>
      <c r="R9" s="22"/>
      <c r="T9" s="24" t="str">
        <f t="shared" si="5"/>
        <v>IC III</v>
      </c>
      <c r="V9" s="3" t="s">
        <v>321</v>
      </c>
      <c r="W9" s="3" t="s">
        <v>284</v>
      </c>
      <c r="X9" s="22">
        <f t="shared" si="19"/>
        <v>2</v>
      </c>
      <c r="Y9" s="22">
        <f t="shared" ref="Y9:Z9" si="20">COUNTIFS($T:$T,$V9,$G:$G,Y$1)</f>
        <v>0</v>
      </c>
      <c r="Z9" s="22">
        <f t="shared" si="20"/>
        <v>2</v>
      </c>
      <c r="AB9" s="24">
        <f t="shared" ref="AB9:AD9" si="21">AB8-X9</f>
        <v>24</v>
      </c>
      <c r="AC9" s="24">
        <f t="shared" si="21"/>
        <v>3</v>
      </c>
      <c r="AD9" s="24">
        <f t="shared" si="21"/>
        <v>21</v>
      </c>
    </row>
    <row r="10">
      <c r="A10" s="20">
        <f t="shared" si="9"/>
        <v>9</v>
      </c>
      <c r="B10" s="9" t="s">
        <v>76</v>
      </c>
      <c r="C10" s="9" t="s">
        <v>322</v>
      </c>
      <c r="D10" s="21">
        <v>2024.0</v>
      </c>
      <c r="E10" s="21">
        <v>176.0</v>
      </c>
      <c r="F10" s="9" t="s">
        <v>295</v>
      </c>
      <c r="G10" s="9" t="s">
        <v>67</v>
      </c>
      <c r="H10" s="9" t="s">
        <v>323</v>
      </c>
      <c r="I10" s="22">
        <f t="shared" si="4"/>
        <v>1</v>
      </c>
      <c r="J10" s="23" t="b">
        <v>1</v>
      </c>
      <c r="K10" s="23" t="b">
        <v>1</v>
      </c>
      <c r="L10" s="23" t="b">
        <v>0</v>
      </c>
      <c r="M10" s="23" t="b">
        <v>0</v>
      </c>
      <c r="N10" s="23" t="b">
        <v>0</v>
      </c>
      <c r="O10" s="23" t="b">
        <v>0</v>
      </c>
      <c r="P10" s="9"/>
      <c r="Q10" s="9"/>
      <c r="R10" s="22"/>
      <c r="T10" s="24" t="str">
        <f t="shared" si="5"/>
        <v>IC IV</v>
      </c>
      <c r="V10" s="3" t="s">
        <v>324</v>
      </c>
      <c r="W10" s="3" t="s">
        <v>325</v>
      </c>
      <c r="X10" s="22">
        <f t="shared" si="19"/>
        <v>24</v>
      </c>
      <c r="Y10" s="22">
        <f t="shared" ref="Y10:Z10" si="22">COUNTIFS($T:$T,$V10,$G:$G,Y$1)</f>
        <v>3</v>
      </c>
      <c r="Z10" s="22">
        <f t="shared" si="22"/>
        <v>21</v>
      </c>
      <c r="AB10" s="24">
        <f t="shared" ref="AB10:AD10" si="23">AB9-X10</f>
        <v>0</v>
      </c>
      <c r="AC10" s="24">
        <f t="shared" si="23"/>
        <v>0</v>
      </c>
      <c r="AD10" s="24">
        <f t="shared" si="23"/>
        <v>0</v>
      </c>
    </row>
    <row r="11">
      <c r="A11" s="20">
        <f t="shared" si="9"/>
        <v>10</v>
      </c>
      <c r="B11" s="9" t="s">
        <v>77</v>
      </c>
      <c r="C11" s="9" t="s">
        <v>326</v>
      </c>
      <c r="D11" s="21">
        <v>2023.0</v>
      </c>
      <c r="E11" s="21">
        <v>-1.0</v>
      </c>
      <c r="F11" s="9" t="s">
        <v>290</v>
      </c>
      <c r="G11" s="9" t="s">
        <v>71</v>
      </c>
      <c r="H11" s="9" t="s">
        <v>327</v>
      </c>
      <c r="I11" s="22">
        <f t="shared" si="4"/>
        <v>2</v>
      </c>
      <c r="J11" s="23" t="b">
        <v>1</v>
      </c>
      <c r="K11" s="23" t="b">
        <v>1</v>
      </c>
      <c r="L11" s="23" t="b">
        <v>1</v>
      </c>
      <c r="M11" s="23" t="b">
        <v>0</v>
      </c>
      <c r="N11" s="23" t="b">
        <v>0</v>
      </c>
      <c r="O11" s="23" t="b">
        <v>0</v>
      </c>
      <c r="P11" s="23" t="b">
        <v>1</v>
      </c>
      <c r="Q11" s="23" t="b">
        <v>1</v>
      </c>
      <c r="R11" s="22"/>
      <c r="T11" s="24" t="str">
        <f t="shared" si="5"/>
        <v>EC V</v>
      </c>
      <c r="X11" s="22"/>
      <c r="Y11" s="22"/>
      <c r="Z11" s="22"/>
    </row>
    <row r="12">
      <c r="A12" s="20">
        <f t="shared" si="9"/>
        <v>11</v>
      </c>
      <c r="B12" s="9" t="s">
        <v>78</v>
      </c>
      <c r="C12" s="9" t="s">
        <v>328</v>
      </c>
      <c r="D12" s="21">
        <v>2024.0</v>
      </c>
      <c r="E12" s="21">
        <v>-1.0</v>
      </c>
      <c r="F12" s="9" t="s">
        <v>290</v>
      </c>
      <c r="G12" s="9" t="s">
        <v>71</v>
      </c>
      <c r="H12" s="9" t="s">
        <v>329</v>
      </c>
      <c r="I12" s="22">
        <f t="shared" si="4"/>
        <v>1</v>
      </c>
      <c r="J12" s="23" t="b">
        <v>1</v>
      </c>
      <c r="K12" s="23" t="b">
        <v>1</v>
      </c>
      <c r="L12" s="23" t="b">
        <v>1</v>
      </c>
      <c r="M12" s="23" t="b">
        <v>0</v>
      </c>
      <c r="N12" s="23" t="b">
        <v>0</v>
      </c>
      <c r="O12" s="23" t="b">
        <v>0</v>
      </c>
      <c r="P12" s="23" t="b">
        <v>1</v>
      </c>
      <c r="Q12" s="23" t="b">
        <v>1</v>
      </c>
      <c r="R12" s="22"/>
      <c r="T12" s="24" t="str">
        <f t="shared" si="5"/>
        <v>EC V</v>
      </c>
      <c r="V12" s="3" t="s">
        <v>330</v>
      </c>
    </row>
    <row r="13">
      <c r="A13" s="20">
        <f t="shared" si="9"/>
        <v>12</v>
      </c>
      <c r="B13" s="9" t="s">
        <v>79</v>
      </c>
      <c r="C13" s="9" t="s">
        <v>331</v>
      </c>
      <c r="D13" s="21">
        <v>2025.0</v>
      </c>
      <c r="E13" s="21">
        <v>-1.0</v>
      </c>
      <c r="F13" s="9" t="s">
        <v>290</v>
      </c>
      <c r="G13" s="9" t="s">
        <v>71</v>
      </c>
      <c r="H13" s="9" t="s">
        <v>332</v>
      </c>
      <c r="I13" s="22">
        <f t="shared" si="4"/>
        <v>3</v>
      </c>
      <c r="J13" s="23" t="b">
        <v>1</v>
      </c>
      <c r="K13" s="23" t="b">
        <v>1</v>
      </c>
      <c r="L13" s="23" t="b">
        <v>0</v>
      </c>
      <c r="M13" s="23" t="b">
        <v>1</v>
      </c>
      <c r="N13" s="23" t="b">
        <v>0</v>
      </c>
      <c r="O13" s="23" t="b">
        <v>0</v>
      </c>
      <c r="P13" s="9"/>
      <c r="Q13" s="9"/>
      <c r="R13" s="22"/>
      <c r="T13" s="24" t="str">
        <f t="shared" si="5"/>
        <v>IC IV</v>
      </c>
      <c r="V13" s="3" t="s">
        <v>317</v>
      </c>
      <c r="X13" s="24">
        <f t="shared" ref="X13:X15" si="25">SUMIFS(I:I,T:T,V8)-X8</f>
        <v>3</v>
      </c>
      <c r="Y13" s="24">
        <f t="shared" ref="Y13:Z13" si="24">SUMIFS($I:$I,$T:$T,$V8,$G:$G,Y$1)-Y8</f>
        <v>3</v>
      </c>
      <c r="Z13" s="24">
        <f t="shared" si="24"/>
        <v>0</v>
      </c>
    </row>
    <row r="14">
      <c r="A14" s="20">
        <f t="shared" si="9"/>
        <v>13</v>
      </c>
      <c r="B14" s="9" t="s">
        <v>80</v>
      </c>
      <c r="C14" s="9" t="s">
        <v>333</v>
      </c>
      <c r="D14" s="21">
        <v>2025.0</v>
      </c>
      <c r="E14" s="21">
        <v>7.0</v>
      </c>
      <c r="F14" s="9" t="s">
        <v>334</v>
      </c>
      <c r="G14" s="9" t="s">
        <v>67</v>
      </c>
      <c r="H14" s="9" t="s">
        <v>320</v>
      </c>
      <c r="I14" s="22">
        <f t="shared" si="4"/>
        <v>1</v>
      </c>
      <c r="J14" s="23" t="b">
        <v>1</v>
      </c>
      <c r="K14" s="23" t="b">
        <v>1</v>
      </c>
      <c r="L14" s="23" t="b">
        <v>1</v>
      </c>
      <c r="M14" s="23" t="b">
        <v>0</v>
      </c>
      <c r="N14" s="23" t="b">
        <v>0</v>
      </c>
      <c r="O14" s="23" t="b">
        <v>0</v>
      </c>
      <c r="P14" s="23" t="b">
        <v>1</v>
      </c>
      <c r="Q14" s="23" t="b">
        <v>1</v>
      </c>
      <c r="R14" s="22"/>
      <c r="T14" s="24" t="str">
        <f t="shared" si="5"/>
        <v>EC V</v>
      </c>
      <c r="V14" s="3" t="s">
        <v>321</v>
      </c>
      <c r="X14" s="24">
        <f t="shared" si="25"/>
        <v>1</v>
      </c>
      <c r="Y14" s="24">
        <f t="shared" ref="Y14:Z14" si="26">SUMIFS($I:$I,$T:$T,$V9,$G:$G,Y$1)-Y9</f>
        <v>0</v>
      </c>
      <c r="Z14" s="24">
        <f t="shared" si="26"/>
        <v>1</v>
      </c>
    </row>
    <row r="15">
      <c r="A15" s="20">
        <f t="shared" si="9"/>
        <v>14</v>
      </c>
      <c r="B15" s="9" t="s">
        <v>81</v>
      </c>
      <c r="C15" s="9" t="s">
        <v>335</v>
      </c>
      <c r="D15" s="21">
        <v>2024.0</v>
      </c>
      <c r="E15" s="21">
        <v>-1.0</v>
      </c>
      <c r="F15" s="9" t="s">
        <v>290</v>
      </c>
      <c r="G15" s="9" t="s">
        <v>71</v>
      </c>
      <c r="H15" s="9" t="s">
        <v>336</v>
      </c>
      <c r="I15" s="22">
        <f t="shared" si="4"/>
        <v>4</v>
      </c>
      <c r="J15" s="23" t="b">
        <v>1</v>
      </c>
      <c r="K15" s="23" t="b">
        <v>1</v>
      </c>
      <c r="L15" s="23" t="b">
        <v>0</v>
      </c>
      <c r="M15" s="23" t="b">
        <v>1</v>
      </c>
      <c r="N15" s="23" t="b">
        <v>0</v>
      </c>
      <c r="O15" s="23" t="b">
        <v>0</v>
      </c>
      <c r="P15" s="9"/>
      <c r="Q15" s="9"/>
      <c r="R15" s="22"/>
      <c r="T15" s="24" t="str">
        <f t="shared" si="5"/>
        <v>IC IV</v>
      </c>
      <c r="V15" s="3" t="s">
        <v>324</v>
      </c>
      <c r="X15" s="24">
        <f t="shared" si="25"/>
        <v>2</v>
      </c>
      <c r="Y15" s="24">
        <f t="shared" ref="Y15:Z15" si="27">SUMIFS($I:$I,$T:$T,$V10,$G:$G,Y$1)-Y10</f>
        <v>2</v>
      </c>
      <c r="Z15" s="24">
        <f t="shared" si="27"/>
        <v>0</v>
      </c>
    </row>
    <row r="16">
      <c r="A16" s="20">
        <f t="shared" si="9"/>
        <v>15</v>
      </c>
      <c r="B16" s="9" t="s">
        <v>82</v>
      </c>
      <c r="C16" s="9" t="s">
        <v>337</v>
      </c>
      <c r="D16" s="21">
        <v>2025.0</v>
      </c>
      <c r="E16" s="21">
        <v>-1.0</v>
      </c>
      <c r="F16" s="9" t="s">
        <v>290</v>
      </c>
      <c r="G16" s="9" t="s">
        <v>71</v>
      </c>
      <c r="H16" s="9" t="s">
        <v>338</v>
      </c>
      <c r="I16" s="22">
        <f t="shared" si="4"/>
        <v>4</v>
      </c>
      <c r="J16" s="23" t="b">
        <v>1</v>
      </c>
      <c r="K16" s="23" t="b">
        <v>1</v>
      </c>
      <c r="L16" s="23" t="b">
        <v>0</v>
      </c>
      <c r="M16" s="23" t="b">
        <v>1</v>
      </c>
      <c r="N16" s="23" t="b">
        <v>1</v>
      </c>
      <c r="O16" s="23" t="b">
        <v>0</v>
      </c>
      <c r="P16" s="9"/>
      <c r="Q16" s="9"/>
      <c r="R16" s="22"/>
      <c r="T16" s="24" t="str">
        <f t="shared" si="5"/>
        <v>IC IV</v>
      </c>
    </row>
    <row r="17">
      <c r="A17" s="20">
        <f t="shared" si="9"/>
        <v>16</v>
      </c>
      <c r="B17" s="9" t="s">
        <v>83</v>
      </c>
      <c r="C17" s="9" t="s">
        <v>339</v>
      </c>
      <c r="D17" s="21">
        <v>2024.0</v>
      </c>
      <c r="E17" s="21">
        <v>-1.0</v>
      </c>
      <c r="F17" s="9" t="s">
        <v>290</v>
      </c>
      <c r="G17" s="9" t="s">
        <v>71</v>
      </c>
      <c r="H17" s="9" t="s">
        <v>329</v>
      </c>
      <c r="I17" s="22">
        <f t="shared" si="4"/>
        <v>1</v>
      </c>
      <c r="J17" s="23" t="b">
        <v>1</v>
      </c>
      <c r="K17" s="23" t="b">
        <v>0</v>
      </c>
      <c r="L17" s="23" t="b">
        <v>0</v>
      </c>
      <c r="M17" s="23" t="b">
        <v>1</v>
      </c>
      <c r="N17" s="23" t="b">
        <v>1</v>
      </c>
      <c r="O17" s="23" t="b">
        <v>1</v>
      </c>
      <c r="P17" s="9"/>
      <c r="Q17" s="9"/>
      <c r="R17" s="22"/>
      <c r="T17" s="24" t="str">
        <f t="shared" si="5"/>
        <v>IC III</v>
      </c>
    </row>
    <row r="18">
      <c r="A18" s="20">
        <f t="shared" si="9"/>
        <v>17</v>
      </c>
      <c r="B18" s="9" t="s">
        <v>137</v>
      </c>
      <c r="C18" s="9" t="s">
        <v>340</v>
      </c>
      <c r="D18" s="21">
        <v>2024.0</v>
      </c>
      <c r="E18" s="21">
        <v>1.0</v>
      </c>
      <c r="F18" s="9" t="s">
        <v>295</v>
      </c>
      <c r="G18" s="9" t="s">
        <v>67</v>
      </c>
      <c r="H18" s="9" t="s">
        <v>341</v>
      </c>
      <c r="I18" s="22">
        <f t="shared" si="4"/>
        <v>1</v>
      </c>
      <c r="J18" s="23" t="b">
        <v>1</v>
      </c>
      <c r="K18" s="23" t="b">
        <v>1</v>
      </c>
      <c r="L18" s="23" t="b">
        <v>1</v>
      </c>
      <c r="M18" s="23" t="b">
        <v>0</v>
      </c>
      <c r="N18" s="23" t="b">
        <v>0</v>
      </c>
      <c r="O18" s="23" t="b">
        <v>0</v>
      </c>
      <c r="P18" s="23" t="b">
        <v>1</v>
      </c>
      <c r="Q18" s="23" t="b">
        <v>1</v>
      </c>
      <c r="R18" s="22"/>
      <c r="T18" s="24" t="str">
        <f t="shared" si="5"/>
        <v>EC V</v>
      </c>
    </row>
    <row r="19">
      <c r="A19" s="20">
        <f t="shared" si="9"/>
        <v>18</v>
      </c>
      <c r="B19" s="9" t="s">
        <v>85</v>
      </c>
      <c r="C19" s="9" t="s">
        <v>342</v>
      </c>
      <c r="D19" s="21">
        <v>2024.0</v>
      </c>
      <c r="E19" s="21">
        <v>-1.0</v>
      </c>
      <c r="F19" s="9" t="s">
        <v>290</v>
      </c>
      <c r="G19" s="9" t="s">
        <v>71</v>
      </c>
      <c r="H19" s="9" t="s">
        <v>343</v>
      </c>
      <c r="I19" s="22">
        <f t="shared" si="4"/>
        <v>4</v>
      </c>
      <c r="J19" s="23" t="b">
        <v>1</v>
      </c>
      <c r="K19" s="23" t="b">
        <v>1</v>
      </c>
      <c r="L19" s="23" t="b">
        <v>0</v>
      </c>
      <c r="M19" s="23" t="b">
        <v>1</v>
      </c>
      <c r="N19" s="23" t="b">
        <v>0</v>
      </c>
      <c r="O19" s="23" t="b">
        <v>0</v>
      </c>
      <c r="P19" s="9"/>
      <c r="Q19" s="9"/>
      <c r="R19" s="22"/>
      <c r="T19" s="24" t="str">
        <f t="shared" si="5"/>
        <v>IC IV</v>
      </c>
    </row>
    <row r="20">
      <c r="A20" s="20">
        <f t="shared" si="9"/>
        <v>19</v>
      </c>
      <c r="B20" s="9" t="s">
        <v>86</v>
      </c>
      <c r="C20" s="9" t="s">
        <v>344</v>
      </c>
      <c r="D20" s="21">
        <v>2025.0</v>
      </c>
      <c r="E20" s="21">
        <v>-1.0</v>
      </c>
      <c r="F20" s="9" t="s">
        <v>290</v>
      </c>
      <c r="G20" s="9" t="s">
        <v>71</v>
      </c>
      <c r="H20" s="9" t="s">
        <v>304</v>
      </c>
      <c r="I20" s="22">
        <f t="shared" si="4"/>
        <v>5</v>
      </c>
      <c r="J20" s="23" t="b">
        <v>1</v>
      </c>
      <c r="K20" s="23" t="b">
        <v>1</v>
      </c>
      <c r="L20" s="23" t="b">
        <v>0</v>
      </c>
      <c r="M20" s="23" t="b">
        <v>1</v>
      </c>
      <c r="N20" s="23" t="b">
        <v>0</v>
      </c>
      <c r="O20" s="23" t="b">
        <v>0</v>
      </c>
      <c r="P20" s="9"/>
      <c r="Q20" s="9"/>
      <c r="R20" s="22"/>
      <c r="T20" s="24" t="str">
        <f t="shared" si="5"/>
        <v>IC IV</v>
      </c>
    </row>
    <row r="21">
      <c r="A21" s="20">
        <f t="shared" si="9"/>
        <v>20</v>
      </c>
      <c r="B21" s="9" t="s">
        <v>87</v>
      </c>
      <c r="C21" s="9" t="s">
        <v>345</v>
      </c>
      <c r="D21" s="21">
        <v>2024.0</v>
      </c>
      <c r="E21" s="21">
        <v>-1.0</v>
      </c>
      <c r="F21" s="9" t="s">
        <v>290</v>
      </c>
      <c r="G21" s="9" t="s">
        <v>71</v>
      </c>
      <c r="H21" s="9" t="s">
        <v>320</v>
      </c>
      <c r="I21" s="22">
        <f t="shared" si="4"/>
        <v>1</v>
      </c>
      <c r="J21" s="23" t="b">
        <v>1</v>
      </c>
      <c r="K21" s="23" t="b">
        <v>0</v>
      </c>
      <c r="L21" s="23" t="b">
        <v>0</v>
      </c>
      <c r="M21" s="23" t="b">
        <v>1</v>
      </c>
      <c r="N21" s="23" t="b">
        <v>1</v>
      </c>
      <c r="O21" s="23" t="b">
        <v>1</v>
      </c>
      <c r="P21" s="9"/>
      <c r="Q21" s="9"/>
      <c r="R21" s="22"/>
      <c r="T21" s="24" t="str">
        <f t="shared" si="5"/>
        <v>IC III</v>
      </c>
    </row>
    <row r="22">
      <c r="A22" s="20">
        <f t="shared" si="9"/>
        <v>21</v>
      </c>
      <c r="B22" s="9" t="s">
        <v>88</v>
      </c>
      <c r="C22" s="9" t="s">
        <v>346</v>
      </c>
      <c r="D22" s="21">
        <v>2025.0</v>
      </c>
      <c r="E22" s="21">
        <v>-1.0</v>
      </c>
      <c r="F22" s="9" t="s">
        <v>290</v>
      </c>
      <c r="G22" s="9" t="s">
        <v>71</v>
      </c>
      <c r="H22" s="9" t="s">
        <v>347</v>
      </c>
      <c r="I22" s="22">
        <f t="shared" si="4"/>
        <v>2</v>
      </c>
      <c r="J22" s="23" t="b">
        <v>1</v>
      </c>
      <c r="K22" s="23" t="b">
        <v>1</v>
      </c>
      <c r="L22" s="23" t="b">
        <v>0</v>
      </c>
      <c r="M22" s="23" t="b">
        <v>1</v>
      </c>
      <c r="N22" s="23" t="b">
        <v>0</v>
      </c>
      <c r="O22" s="23" t="b">
        <v>0</v>
      </c>
      <c r="P22" s="9"/>
      <c r="Q22" s="9"/>
      <c r="R22" s="22"/>
      <c r="T22" s="24" t="str">
        <f t="shared" si="5"/>
        <v>IC IV</v>
      </c>
    </row>
    <row r="23">
      <c r="A23" s="20">
        <f t="shared" si="9"/>
        <v>22</v>
      </c>
      <c r="B23" s="9" t="s">
        <v>89</v>
      </c>
      <c r="C23" s="9" t="s">
        <v>348</v>
      </c>
      <c r="D23" s="21">
        <v>2025.0</v>
      </c>
      <c r="E23" s="21">
        <v>-1.0</v>
      </c>
      <c r="F23" s="9" t="s">
        <v>290</v>
      </c>
      <c r="G23" s="9" t="s">
        <v>71</v>
      </c>
      <c r="H23" s="9" t="s">
        <v>320</v>
      </c>
      <c r="I23" s="22">
        <f t="shared" si="4"/>
        <v>1</v>
      </c>
      <c r="J23" s="23" t="b">
        <v>1</v>
      </c>
      <c r="K23" s="23" t="b">
        <v>0</v>
      </c>
      <c r="L23" s="23" t="b">
        <v>0</v>
      </c>
      <c r="M23" s="23" t="b">
        <v>1</v>
      </c>
      <c r="N23" s="23" t="b">
        <v>1</v>
      </c>
      <c r="O23" s="23" t="b">
        <v>1</v>
      </c>
      <c r="P23" s="9"/>
      <c r="Q23" s="9"/>
      <c r="R23" s="22"/>
      <c r="T23" s="24" t="str">
        <f t="shared" si="5"/>
        <v>IC III</v>
      </c>
    </row>
    <row r="24">
      <c r="A24" s="20">
        <f t="shared" si="9"/>
        <v>23</v>
      </c>
      <c r="B24" s="9" t="s">
        <v>90</v>
      </c>
      <c r="C24" s="9" t="s">
        <v>349</v>
      </c>
      <c r="D24" s="21">
        <v>2025.0</v>
      </c>
      <c r="E24" s="21">
        <v>-1.0</v>
      </c>
      <c r="F24" s="9" t="s">
        <v>290</v>
      </c>
      <c r="G24" s="9" t="s">
        <v>71</v>
      </c>
      <c r="H24" s="9" t="s">
        <v>304</v>
      </c>
      <c r="I24" s="22">
        <f t="shared" si="4"/>
        <v>5</v>
      </c>
      <c r="J24" s="23" t="b">
        <v>1</v>
      </c>
      <c r="K24" s="23" t="b">
        <v>1</v>
      </c>
      <c r="L24" s="23" t="b">
        <v>0</v>
      </c>
      <c r="M24" s="23" t="b">
        <v>1</v>
      </c>
      <c r="N24" s="23" t="b">
        <v>0</v>
      </c>
      <c r="O24" s="23" t="b">
        <v>0</v>
      </c>
      <c r="P24" s="9"/>
      <c r="Q24" s="9"/>
      <c r="R24" s="22"/>
      <c r="T24" s="24" t="str">
        <f t="shared" si="5"/>
        <v>IC IV</v>
      </c>
    </row>
    <row r="25">
      <c r="A25" s="20">
        <f t="shared" si="9"/>
        <v>24</v>
      </c>
      <c r="B25" s="9" t="s">
        <v>91</v>
      </c>
      <c r="C25" s="9" t="s">
        <v>350</v>
      </c>
      <c r="D25" s="21">
        <v>2023.0</v>
      </c>
      <c r="E25" s="21">
        <v>267.0</v>
      </c>
      <c r="F25" s="9" t="s">
        <v>351</v>
      </c>
      <c r="G25" s="9" t="s">
        <v>67</v>
      </c>
      <c r="H25" s="9" t="s">
        <v>352</v>
      </c>
      <c r="I25" s="22">
        <f t="shared" si="4"/>
        <v>2</v>
      </c>
      <c r="J25" s="23" t="b">
        <v>1</v>
      </c>
      <c r="K25" s="23" t="b">
        <v>1</v>
      </c>
      <c r="L25" s="23" t="b">
        <v>0</v>
      </c>
      <c r="M25" s="23" t="b">
        <v>1</v>
      </c>
      <c r="N25" s="23" t="b">
        <v>0</v>
      </c>
      <c r="O25" s="23" t="b">
        <v>0</v>
      </c>
      <c r="P25" s="9"/>
      <c r="Q25" s="9"/>
      <c r="R25" s="22"/>
      <c r="T25" s="24" t="str">
        <f t="shared" si="5"/>
        <v>IC IV</v>
      </c>
    </row>
    <row r="26">
      <c r="A26" s="20">
        <f t="shared" si="9"/>
        <v>25</v>
      </c>
      <c r="B26" s="9" t="s">
        <v>92</v>
      </c>
      <c r="C26" s="9" t="s">
        <v>353</v>
      </c>
      <c r="D26" s="21">
        <v>2025.0</v>
      </c>
      <c r="E26" s="21">
        <v>-1.0</v>
      </c>
      <c r="F26" s="9" t="s">
        <v>290</v>
      </c>
      <c r="G26" s="9" t="s">
        <v>71</v>
      </c>
      <c r="H26" s="9" t="s">
        <v>354</v>
      </c>
      <c r="I26" s="22">
        <f t="shared" si="4"/>
        <v>3</v>
      </c>
      <c r="J26" s="23" t="b">
        <v>1</v>
      </c>
      <c r="K26" s="23" t="b">
        <v>1</v>
      </c>
      <c r="L26" s="23" t="b">
        <v>0</v>
      </c>
      <c r="M26" s="23" t="b">
        <v>1</v>
      </c>
      <c r="N26" s="23" t="b">
        <v>0</v>
      </c>
      <c r="O26" s="23" t="b">
        <v>0</v>
      </c>
      <c r="P26" s="9"/>
      <c r="Q26" s="9"/>
      <c r="R26" s="22"/>
      <c r="T26" s="24" t="str">
        <f t="shared" si="5"/>
        <v>IC IV</v>
      </c>
    </row>
    <row r="27">
      <c r="A27" s="20">
        <f t="shared" si="9"/>
        <v>26</v>
      </c>
      <c r="B27" s="9" t="s">
        <v>93</v>
      </c>
      <c r="C27" s="9" t="s">
        <v>355</v>
      </c>
      <c r="D27" s="21">
        <v>2023.0</v>
      </c>
      <c r="E27" s="21">
        <v>-1.0</v>
      </c>
      <c r="F27" s="9" t="s">
        <v>290</v>
      </c>
      <c r="G27" s="9" t="s">
        <v>71</v>
      </c>
      <c r="H27" s="9" t="s">
        <v>320</v>
      </c>
      <c r="I27" s="22">
        <f t="shared" si="4"/>
        <v>1</v>
      </c>
      <c r="J27" s="23" t="b">
        <v>1</v>
      </c>
      <c r="K27" s="23" t="b">
        <v>1</v>
      </c>
      <c r="L27" s="23" t="b">
        <v>0</v>
      </c>
      <c r="M27" s="23" t="b">
        <v>0</v>
      </c>
      <c r="N27" s="23" t="b">
        <v>0</v>
      </c>
      <c r="O27" s="23" t="b">
        <v>1</v>
      </c>
      <c r="P27" s="9"/>
      <c r="Q27" s="9"/>
      <c r="R27" s="22"/>
      <c r="T27" s="24" t="str">
        <f t="shared" si="5"/>
        <v>IC IV</v>
      </c>
    </row>
    <row r="28">
      <c r="A28" s="20">
        <f t="shared" si="9"/>
        <v>27</v>
      </c>
      <c r="B28" s="9" t="s">
        <v>94</v>
      </c>
      <c r="C28" s="9" t="s">
        <v>356</v>
      </c>
      <c r="D28" s="21">
        <v>2024.0</v>
      </c>
      <c r="E28" s="21">
        <v>22.0</v>
      </c>
      <c r="F28" s="9" t="s">
        <v>357</v>
      </c>
      <c r="G28" s="9" t="s">
        <v>67</v>
      </c>
      <c r="H28" s="9" t="s">
        <v>329</v>
      </c>
      <c r="I28" s="22">
        <f t="shared" si="4"/>
        <v>1</v>
      </c>
      <c r="J28" s="23" t="b">
        <v>1</v>
      </c>
      <c r="K28" s="23" t="b">
        <v>1</v>
      </c>
      <c r="L28" s="23" t="b">
        <v>1</v>
      </c>
      <c r="M28" s="23" t="b">
        <v>0</v>
      </c>
      <c r="N28" s="23" t="b">
        <v>0</v>
      </c>
      <c r="O28" s="23" t="b">
        <v>0</v>
      </c>
      <c r="P28" s="23" t="b">
        <v>1</v>
      </c>
      <c r="Q28" s="23" t="b">
        <v>1</v>
      </c>
      <c r="R28" s="22"/>
      <c r="T28" s="24" t="str">
        <f t="shared" si="5"/>
        <v>EC V</v>
      </c>
    </row>
    <row r="29">
      <c r="A29" s="20">
        <f t="shared" si="9"/>
        <v>28</v>
      </c>
      <c r="B29" s="9" t="s">
        <v>95</v>
      </c>
      <c r="C29" s="9" t="s">
        <v>358</v>
      </c>
      <c r="D29" s="21">
        <v>2024.0</v>
      </c>
      <c r="E29" s="21">
        <v>23.0</v>
      </c>
      <c r="F29" s="9" t="s">
        <v>359</v>
      </c>
      <c r="G29" s="9" t="s">
        <v>67</v>
      </c>
      <c r="H29" s="9" t="s">
        <v>323</v>
      </c>
      <c r="I29" s="22">
        <f t="shared" si="4"/>
        <v>1</v>
      </c>
      <c r="J29" s="23" t="b">
        <v>1</v>
      </c>
      <c r="K29" s="23" t="b">
        <v>1</v>
      </c>
      <c r="L29" s="23" t="b">
        <v>1</v>
      </c>
      <c r="M29" s="23" t="b">
        <v>0</v>
      </c>
      <c r="N29" s="23" t="b">
        <v>0</v>
      </c>
      <c r="O29" s="23" t="b">
        <v>0</v>
      </c>
      <c r="P29" s="23" t="b">
        <v>1</v>
      </c>
      <c r="Q29" s="23" t="b">
        <v>1</v>
      </c>
      <c r="R29" s="22"/>
      <c r="T29" s="24" t="str">
        <f t="shared" si="5"/>
        <v>EC V</v>
      </c>
    </row>
    <row r="30">
      <c r="A30" s="20">
        <f t="shared" si="9"/>
        <v>29</v>
      </c>
      <c r="B30" s="9" t="s">
        <v>96</v>
      </c>
      <c r="C30" s="9" t="s">
        <v>360</v>
      </c>
      <c r="D30" s="21">
        <v>2024.0</v>
      </c>
      <c r="E30" s="21">
        <v>1.0</v>
      </c>
      <c r="F30" s="26" t="s">
        <v>361</v>
      </c>
      <c r="G30" s="9" t="s">
        <v>67</v>
      </c>
      <c r="H30" s="9" t="s">
        <v>362</v>
      </c>
      <c r="I30" s="22">
        <f t="shared" si="4"/>
        <v>1</v>
      </c>
      <c r="J30" s="23" t="b">
        <v>1</v>
      </c>
      <c r="K30" s="23" t="b">
        <v>1</v>
      </c>
      <c r="L30" s="23" t="b">
        <v>1</v>
      </c>
      <c r="M30" s="23" t="b">
        <v>0</v>
      </c>
      <c r="N30" s="23" t="b">
        <v>0</v>
      </c>
      <c r="O30" s="23" t="b">
        <v>0</v>
      </c>
      <c r="P30" s="23" t="b">
        <v>1</v>
      </c>
      <c r="Q30" s="23" t="b">
        <v>0</v>
      </c>
      <c r="R30" s="22"/>
      <c r="T30" s="24" t="str">
        <f t="shared" si="5"/>
        <v>OK</v>
      </c>
    </row>
    <row r="31">
      <c r="A31" s="20">
        <f t="shared" si="9"/>
        <v>30</v>
      </c>
      <c r="B31" s="9" t="s">
        <v>97</v>
      </c>
      <c r="C31" s="9" t="s">
        <v>363</v>
      </c>
      <c r="D31" s="21">
        <v>2025.0</v>
      </c>
      <c r="E31" s="21">
        <v>3.0</v>
      </c>
      <c r="F31" s="27" t="s">
        <v>364</v>
      </c>
      <c r="G31" s="9" t="s">
        <v>67</v>
      </c>
      <c r="H31" s="9" t="s">
        <v>341</v>
      </c>
      <c r="I31" s="22">
        <f t="shared" si="4"/>
        <v>1</v>
      </c>
      <c r="J31" s="23" t="b">
        <v>1</v>
      </c>
      <c r="K31" s="23" t="b">
        <v>1</v>
      </c>
      <c r="L31" s="23" t="b">
        <v>0</v>
      </c>
      <c r="M31" s="23" t="b">
        <v>1</v>
      </c>
      <c r="N31" s="23" t="b">
        <v>0</v>
      </c>
      <c r="O31" s="23" t="b">
        <v>0</v>
      </c>
      <c r="P31" s="9"/>
      <c r="Q31" s="9"/>
      <c r="R31" s="22"/>
      <c r="T31" s="24" t="str">
        <f t="shared" si="5"/>
        <v>IC IV</v>
      </c>
    </row>
    <row r="32">
      <c r="A32" s="20">
        <f t="shared" si="9"/>
        <v>31</v>
      </c>
      <c r="B32" s="9" t="s">
        <v>98</v>
      </c>
      <c r="C32" s="9" t="s">
        <v>365</v>
      </c>
      <c r="D32" s="21">
        <v>2025.0</v>
      </c>
      <c r="E32" s="21">
        <v>2.0</v>
      </c>
      <c r="F32" s="9" t="s">
        <v>366</v>
      </c>
      <c r="G32" s="9" t="s">
        <v>67</v>
      </c>
      <c r="H32" s="9" t="s">
        <v>323</v>
      </c>
      <c r="I32" s="22">
        <f t="shared" si="4"/>
        <v>1</v>
      </c>
      <c r="J32" s="23" t="b">
        <v>1</v>
      </c>
      <c r="K32" s="23" t="b">
        <v>1</v>
      </c>
      <c r="L32" s="23" t="b">
        <v>0</v>
      </c>
      <c r="M32" s="23" t="b">
        <v>1</v>
      </c>
      <c r="N32" s="23" t="b">
        <v>1</v>
      </c>
      <c r="O32" s="23" t="b">
        <v>0</v>
      </c>
      <c r="P32" s="9"/>
      <c r="Q32" s="9"/>
      <c r="R32" s="22"/>
      <c r="T32" s="24" t="str">
        <f t="shared" si="5"/>
        <v>IC IV</v>
      </c>
    </row>
    <row r="33">
      <c r="A33" s="20">
        <f t="shared" si="9"/>
        <v>32</v>
      </c>
      <c r="B33" s="28" t="s">
        <v>141</v>
      </c>
      <c r="C33" s="9" t="s">
        <v>367</v>
      </c>
      <c r="D33" s="21">
        <v>2023.0</v>
      </c>
      <c r="E33" s="21">
        <v>-1.0</v>
      </c>
      <c r="F33" s="9" t="s">
        <v>290</v>
      </c>
      <c r="G33" s="9" t="s">
        <v>71</v>
      </c>
      <c r="H33" s="9" t="s">
        <v>320</v>
      </c>
      <c r="I33" s="22">
        <f t="shared" si="4"/>
        <v>1</v>
      </c>
      <c r="J33" s="23" t="b">
        <v>1</v>
      </c>
      <c r="K33" s="23" t="b">
        <v>0</v>
      </c>
      <c r="L33" s="23" t="b">
        <v>0</v>
      </c>
      <c r="M33" s="23" t="b">
        <v>0</v>
      </c>
      <c r="N33" s="23" t="b">
        <v>1</v>
      </c>
      <c r="O33" s="23" t="b">
        <v>0</v>
      </c>
      <c r="P33" s="23" t="b">
        <v>1</v>
      </c>
      <c r="Q33" s="23" t="b">
        <v>0</v>
      </c>
      <c r="R33" s="22"/>
      <c r="T33" s="24" t="str">
        <f t="shared" si="5"/>
        <v>IC III</v>
      </c>
    </row>
    <row r="34">
      <c r="A34" s="20">
        <f t="shared" si="9"/>
        <v>33</v>
      </c>
      <c r="B34" s="9" t="s">
        <v>100</v>
      </c>
      <c r="C34" s="9" t="s">
        <v>368</v>
      </c>
      <c r="D34" s="21">
        <v>2025.0</v>
      </c>
      <c r="E34" s="21">
        <v>-1.0</v>
      </c>
      <c r="F34" s="9" t="s">
        <v>290</v>
      </c>
      <c r="G34" s="9" t="s">
        <v>71</v>
      </c>
      <c r="H34" s="9" t="s">
        <v>347</v>
      </c>
      <c r="I34" s="22">
        <f t="shared" si="4"/>
        <v>2</v>
      </c>
      <c r="J34" s="23" t="b">
        <v>1</v>
      </c>
      <c r="K34" s="23" t="b">
        <v>0</v>
      </c>
      <c r="L34" s="23" t="b">
        <v>0</v>
      </c>
      <c r="M34" s="23" t="b">
        <v>1</v>
      </c>
      <c r="N34" s="23" t="b">
        <v>0</v>
      </c>
      <c r="O34" s="23" t="b">
        <v>0</v>
      </c>
      <c r="P34" s="9"/>
      <c r="Q34" s="9"/>
      <c r="R34" s="22"/>
      <c r="T34" s="24" t="str">
        <f t="shared" si="5"/>
        <v>IC III</v>
      </c>
    </row>
    <row r="35">
      <c r="A35" s="20">
        <f t="shared" si="9"/>
        <v>34</v>
      </c>
      <c r="B35" s="9" t="s">
        <v>101</v>
      </c>
      <c r="C35" s="9" t="s">
        <v>369</v>
      </c>
      <c r="D35" s="21">
        <v>2023.0</v>
      </c>
      <c r="E35" s="21">
        <v>5.0</v>
      </c>
      <c r="F35" s="9" t="s">
        <v>295</v>
      </c>
      <c r="G35" s="9" t="s">
        <v>67</v>
      </c>
      <c r="H35" s="9" t="s">
        <v>323</v>
      </c>
      <c r="I35" s="22">
        <f t="shared" si="4"/>
        <v>1</v>
      </c>
      <c r="J35" s="23" t="b">
        <v>1</v>
      </c>
      <c r="K35" s="23" t="b">
        <v>1</v>
      </c>
      <c r="L35" s="23" t="b">
        <v>0</v>
      </c>
      <c r="M35" s="23" t="b">
        <v>1</v>
      </c>
      <c r="N35" s="23" t="b">
        <v>0</v>
      </c>
      <c r="O35" s="23" t="b">
        <v>0</v>
      </c>
      <c r="P35" s="9"/>
      <c r="Q35" s="9"/>
      <c r="R35" s="22"/>
      <c r="T35" s="24" t="str">
        <f t="shared" si="5"/>
        <v>IC IV</v>
      </c>
    </row>
    <row r="36">
      <c r="A36" s="20">
        <f t="shared" si="9"/>
        <v>35</v>
      </c>
      <c r="B36" s="9" t="s">
        <v>102</v>
      </c>
      <c r="C36" s="9" t="s">
        <v>370</v>
      </c>
      <c r="D36" s="21">
        <v>2023.0</v>
      </c>
      <c r="E36" s="21">
        <v>17.0</v>
      </c>
      <c r="F36" s="9" t="s">
        <v>371</v>
      </c>
      <c r="G36" s="9" t="s">
        <v>67</v>
      </c>
      <c r="H36" s="9" t="s">
        <v>362</v>
      </c>
      <c r="I36" s="22">
        <f t="shared" si="4"/>
        <v>1</v>
      </c>
      <c r="J36" s="23" t="b">
        <v>1</v>
      </c>
      <c r="K36" s="23" t="b">
        <v>0</v>
      </c>
      <c r="L36" s="23" t="b">
        <v>0</v>
      </c>
      <c r="M36" s="23" t="b">
        <v>1</v>
      </c>
      <c r="N36" s="23" t="b">
        <v>0</v>
      </c>
      <c r="O36" s="23" t="b">
        <v>1</v>
      </c>
      <c r="P36" s="9"/>
      <c r="Q36" s="9"/>
      <c r="R36" s="22"/>
      <c r="T36" s="24" t="str">
        <f t="shared" si="5"/>
        <v>IC III</v>
      </c>
    </row>
    <row r="37">
      <c r="A37" s="20">
        <f t="shared" si="9"/>
        <v>36</v>
      </c>
      <c r="B37" s="9" t="s">
        <v>103</v>
      </c>
      <c r="C37" s="9" t="s">
        <v>372</v>
      </c>
      <c r="D37" s="21">
        <v>2024.0</v>
      </c>
      <c r="E37" s="21">
        <v>-1.0</v>
      </c>
      <c r="F37" s="9" t="s">
        <v>290</v>
      </c>
      <c r="G37" s="9" t="s">
        <v>71</v>
      </c>
      <c r="H37" s="9" t="s">
        <v>320</v>
      </c>
      <c r="I37" s="22">
        <f t="shared" si="4"/>
        <v>1</v>
      </c>
      <c r="J37" s="23" t="b">
        <v>1</v>
      </c>
      <c r="K37" s="23" t="b">
        <v>0</v>
      </c>
      <c r="L37" s="23" t="b">
        <v>0</v>
      </c>
      <c r="M37" s="23" t="b">
        <v>0</v>
      </c>
      <c r="N37" s="23" t="b">
        <v>1</v>
      </c>
      <c r="O37" s="23" t="b">
        <v>0</v>
      </c>
      <c r="P37" s="9"/>
      <c r="Q37" s="9"/>
      <c r="R37" s="22"/>
      <c r="T37" s="24" t="str">
        <f t="shared" si="5"/>
        <v>IC III</v>
      </c>
    </row>
    <row r="38">
      <c r="A38" s="20">
        <f t="shared" si="9"/>
        <v>37</v>
      </c>
      <c r="B38" s="9" t="s">
        <v>104</v>
      </c>
      <c r="C38" s="9" t="s">
        <v>373</v>
      </c>
      <c r="D38" s="21">
        <v>2025.0</v>
      </c>
      <c r="E38" s="21">
        <v>-1.0</v>
      </c>
      <c r="F38" s="9" t="s">
        <v>290</v>
      </c>
      <c r="G38" s="9" t="s">
        <v>71</v>
      </c>
      <c r="H38" s="9" t="s">
        <v>341</v>
      </c>
      <c r="I38" s="22">
        <f t="shared" si="4"/>
        <v>1</v>
      </c>
      <c r="J38" s="23" t="b">
        <v>1</v>
      </c>
      <c r="K38" s="23" t="b">
        <v>0</v>
      </c>
      <c r="L38" s="23" t="b">
        <v>0</v>
      </c>
      <c r="M38" s="23" t="b">
        <v>0</v>
      </c>
      <c r="N38" s="23" t="b">
        <v>1</v>
      </c>
      <c r="O38" s="23" t="b">
        <v>0</v>
      </c>
      <c r="P38" s="9"/>
      <c r="Q38" s="9"/>
      <c r="R38" s="22"/>
      <c r="T38" s="24" t="str">
        <f t="shared" si="5"/>
        <v>IC III</v>
      </c>
    </row>
    <row r="39">
      <c r="A39" s="20">
        <f t="shared" si="9"/>
        <v>38</v>
      </c>
      <c r="B39" s="9" t="s">
        <v>105</v>
      </c>
      <c r="C39" s="9" t="s">
        <v>374</v>
      </c>
      <c r="D39" s="21">
        <v>2024.0</v>
      </c>
      <c r="E39" s="21">
        <v>-1.0</v>
      </c>
      <c r="F39" s="9" t="s">
        <v>290</v>
      </c>
      <c r="G39" s="9" t="s">
        <v>71</v>
      </c>
      <c r="H39" s="9" t="s">
        <v>341</v>
      </c>
      <c r="I39" s="22">
        <f t="shared" si="4"/>
        <v>1</v>
      </c>
      <c r="J39" s="23" t="b">
        <v>1</v>
      </c>
      <c r="K39" s="23" t="b">
        <v>1</v>
      </c>
      <c r="L39" s="23" t="b">
        <v>0</v>
      </c>
      <c r="M39" s="23" t="b">
        <v>1</v>
      </c>
      <c r="N39" s="23" t="b">
        <v>0</v>
      </c>
      <c r="O39" s="23" t="b">
        <v>0</v>
      </c>
      <c r="P39" s="9"/>
      <c r="Q39" s="9"/>
      <c r="R39" s="22"/>
      <c r="T39" s="24" t="str">
        <f t="shared" si="5"/>
        <v>IC IV</v>
      </c>
    </row>
    <row r="40">
      <c r="A40" s="20">
        <f t="shared" si="9"/>
        <v>39</v>
      </c>
      <c r="B40" s="9" t="s">
        <v>106</v>
      </c>
      <c r="C40" s="9" t="s">
        <v>375</v>
      </c>
      <c r="D40" s="21">
        <v>2024.0</v>
      </c>
      <c r="E40" s="21">
        <v>-1.0</v>
      </c>
      <c r="F40" s="9" t="s">
        <v>290</v>
      </c>
      <c r="G40" s="9" t="s">
        <v>71</v>
      </c>
      <c r="H40" s="9" t="s">
        <v>354</v>
      </c>
      <c r="I40" s="22">
        <f t="shared" si="4"/>
        <v>3</v>
      </c>
      <c r="J40" s="23" t="b">
        <v>1</v>
      </c>
      <c r="K40" s="23" t="b">
        <v>1</v>
      </c>
      <c r="L40" s="23" t="b">
        <v>0</v>
      </c>
      <c r="M40" s="23" t="b">
        <v>1</v>
      </c>
      <c r="N40" s="23" t="b">
        <v>0</v>
      </c>
      <c r="O40" s="23" t="b">
        <v>0</v>
      </c>
      <c r="P40" s="9"/>
      <c r="Q40" s="9"/>
      <c r="R40" s="22"/>
      <c r="T40" s="24" t="str">
        <f t="shared" si="5"/>
        <v>IC IV</v>
      </c>
    </row>
    <row r="41">
      <c r="A41" s="20">
        <f t="shared" si="9"/>
        <v>40</v>
      </c>
      <c r="B41" s="9" t="s">
        <v>107</v>
      </c>
      <c r="C41" s="9" t="s">
        <v>376</v>
      </c>
      <c r="D41" s="21">
        <v>2023.0</v>
      </c>
      <c r="E41" s="21">
        <v>-1.0</v>
      </c>
      <c r="F41" s="9" t="s">
        <v>290</v>
      </c>
      <c r="G41" s="9" t="s">
        <v>71</v>
      </c>
      <c r="H41" s="9" t="s">
        <v>377</v>
      </c>
      <c r="I41" s="22">
        <f t="shared" si="4"/>
        <v>3</v>
      </c>
      <c r="J41" s="23" t="b">
        <v>1</v>
      </c>
      <c r="K41" s="23" t="b">
        <v>1</v>
      </c>
      <c r="L41" s="23" t="b">
        <v>0</v>
      </c>
      <c r="M41" s="23" t="b">
        <v>1</v>
      </c>
      <c r="N41" s="23" t="b">
        <v>0</v>
      </c>
      <c r="O41" s="23" t="b">
        <v>0</v>
      </c>
      <c r="P41" s="9"/>
      <c r="Q41" s="9"/>
      <c r="R41" s="22"/>
      <c r="T41" s="24" t="str">
        <f t="shared" si="5"/>
        <v>IC IV</v>
      </c>
    </row>
    <row r="42">
      <c r="A42" s="20">
        <f t="shared" si="9"/>
        <v>41</v>
      </c>
      <c r="B42" s="9" t="s">
        <v>108</v>
      </c>
      <c r="C42" s="9" t="s">
        <v>378</v>
      </c>
      <c r="D42" s="21">
        <v>2023.0</v>
      </c>
      <c r="E42" s="21">
        <v>56.0</v>
      </c>
      <c r="F42" s="9" t="s">
        <v>379</v>
      </c>
      <c r="G42" s="9" t="s">
        <v>67</v>
      </c>
      <c r="H42" s="9" t="s">
        <v>296</v>
      </c>
      <c r="I42" s="22">
        <f t="shared" si="4"/>
        <v>1</v>
      </c>
      <c r="J42" s="23" t="b">
        <v>1</v>
      </c>
      <c r="K42" s="23" t="b">
        <v>1</v>
      </c>
      <c r="L42" s="23" t="b">
        <v>0</v>
      </c>
      <c r="M42" s="23" t="b">
        <v>1</v>
      </c>
      <c r="N42" s="23" t="b">
        <v>0</v>
      </c>
      <c r="O42" s="23" t="b">
        <v>0</v>
      </c>
      <c r="P42" s="9"/>
      <c r="Q42" s="9"/>
      <c r="R42" s="22"/>
      <c r="T42" s="24" t="str">
        <f t="shared" si="5"/>
        <v>IC IV</v>
      </c>
    </row>
    <row r="43">
      <c r="A43" s="20">
        <f t="shared" si="9"/>
        <v>42</v>
      </c>
      <c r="B43" s="9" t="s">
        <v>109</v>
      </c>
      <c r="C43" s="9" t="s">
        <v>380</v>
      </c>
      <c r="D43" s="21">
        <v>2024.0</v>
      </c>
      <c r="E43" s="21">
        <v>-1.0</v>
      </c>
      <c r="F43" s="9" t="s">
        <v>290</v>
      </c>
      <c r="G43" s="9" t="s">
        <v>71</v>
      </c>
      <c r="H43" s="9" t="s">
        <v>381</v>
      </c>
      <c r="I43" s="22">
        <f t="shared" si="4"/>
        <v>3</v>
      </c>
      <c r="J43" s="23" t="b">
        <v>1</v>
      </c>
      <c r="K43" s="23" t="b">
        <v>1</v>
      </c>
      <c r="L43" s="23" t="b">
        <v>1</v>
      </c>
      <c r="M43" s="23" t="b">
        <v>0</v>
      </c>
      <c r="N43" s="23" t="b">
        <v>0</v>
      </c>
      <c r="O43" s="23" t="b">
        <v>0</v>
      </c>
      <c r="P43" s="23" t="b">
        <v>1</v>
      </c>
      <c r="Q43" s="23" t="b">
        <v>1</v>
      </c>
      <c r="R43" s="22"/>
      <c r="T43" s="24" t="str">
        <f t="shared" si="5"/>
        <v>EC V</v>
      </c>
    </row>
    <row r="44">
      <c r="A44" s="20">
        <f t="shared" si="9"/>
        <v>43</v>
      </c>
      <c r="B44" s="9" t="s">
        <v>110</v>
      </c>
      <c r="C44" s="9" t="s">
        <v>350</v>
      </c>
      <c r="D44" s="21">
        <v>2023.0</v>
      </c>
      <c r="E44" s="21">
        <v>267.0</v>
      </c>
      <c r="F44" s="9" t="s">
        <v>351</v>
      </c>
      <c r="G44" s="9" t="s">
        <v>67</v>
      </c>
      <c r="H44" s="9" t="s">
        <v>341</v>
      </c>
      <c r="I44" s="22">
        <f t="shared" si="4"/>
        <v>1</v>
      </c>
      <c r="J44" s="23" t="b">
        <v>1</v>
      </c>
      <c r="K44" s="23" t="b">
        <v>1</v>
      </c>
      <c r="L44" s="23" t="b">
        <v>0</v>
      </c>
      <c r="M44" s="23" t="b">
        <v>1</v>
      </c>
      <c r="N44" s="23" t="b">
        <v>0</v>
      </c>
      <c r="O44" s="23" t="b">
        <v>0</v>
      </c>
      <c r="P44" s="9"/>
      <c r="Q44" s="9"/>
      <c r="R44" s="17">
        <v>24.0</v>
      </c>
      <c r="T44" s="24" t="str">
        <f t="shared" si="5"/>
        <v>IC IV</v>
      </c>
    </row>
    <row r="45">
      <c r="A45" s="20">
        <f t="shared" si="9"/>
        <v>44</v>
      </c>
      <c r="B45" s="9" t="s">
        <v>111</v>
      </c>
      <c r="C45" s="9" t="s">
        <v>382</v>
      </c>
      <c r="D45" s="21">
        <v>2024.0</v>
      </c>
      <c r="E45" s="21">
        <v>11.0</v>
      </c>
      <c r="F45" s="9" t="s">
        <v>383</v>
      </c>
      <c r="G45" s="9" t="s">
        <v>67</v>
      </c>
      <c r="H45" s="9" t="s">
        <v>341</v>
      </c>
      <c r="I45" s="22">
        <f t="shared" si="4"/>
        <v>1</v>
      </c>
      <c r="J45" s="23" t="b">
        <v>1</v>
      </c>
      <c r="K45" s="23" t="b">
        <v>1</v>
      </c>
      <c r="L45" s="23" t="b">
        <v>0</v>
      </c>
      <c r="M45" s="23" t="b">
        <v>1</v>
      </c>
      <c r="N45" s="23" t="b">
        <v>0</v>
      </c>
      <c r="O45" s="23" t="b">
        <v>0</v>
      </c>
      <c r="P45" s="9"/>
      <c r="Q45" s="9"/>
      <c r="R45" s="22"/>
      <c r="T45" s="24" t="str">
        <f t="shared" si="5"/>
        <v>IC IV</v>
      </c>
    </row>
    <row r="46">
      <c r="A46" s="20">
        <f t="shared" si="9"/>
        <v>45</v>
      </c>
      <c r="B46" s="9" t="s">
        <v>112</v>
      </c>
      <c r="C46" s="9" t="s">
        <v>384</v>
      </c>
      <c r="D46" s="21">
        <v>2024.0</v>
      </c>
      <c r="E46" s="21">
        <v>-1.0</v>
      </c>
      <c r="F46" s="9" t="s">
        <v>290</v>
      </c>
      <c r="G46" s="9" t="s">
        <v>71</v>
      </c>
      <c r="H46" s="9" t="s">
        <v>323</v>
      </c>
      <c r="I46" s="22">
        <f t="shared" si="4"/>
        <v>1</v>
      </c>
      <c r="J46" s="23" t="b">
        <v>1</v>
      </c>
      <c r="K46" s="23" t="b">
        <v>1</v>
      </c>
      <c r="L46" s="23" t="b">
        <v>0</v>
      </c>
      <c r="M46" s="23" t="b">
        <v>1</v>
      </c>
      <c r="N46" s="23" t="b">
        <v>0</v>
      </c>
      <c r="O46" s="23" t="b">
        <v>0</v>
      </c>
      <c r="P46" s="9"/>
      <c r="Q46" s="9"/>
      <c r="R46" s="22"/>
      <c r="T46" s="24" t="str">
        <f t="shared" si="5"/>
        <v>IC IV</v>
      </c>
    </row>
    <row r="47">
      <c r="A47" s="20">
        <f t="shared" si="9"/>
        <v>46</v>
      </c>
      <c r="B47" s="9" t="s">
        <v>113</v>
      </c>
      <c r="C47" s="9" t="s">
        <v>385</v>
      </c>
      <c r="D47" s="21">
        <v>2024.0</v>
      </c>
      <c r="E47" s="21">
        <v>12.0</v>
      </c>
      <c r="F47" s="9" t="s">
        <v>386</v>
      </c>
      <c r="G47" s="9" t="s">
        <v>67</v>
      </c>
      <c r="H47" s="9" t="s">
        <v>329</v>
      </c>
      <c r="I47" s="22">
        <f t="shared" si="4"/>
        <v>1</v>
      </c>
      <c r="J47" s="23" t="b">
        <v>1</v>
      </c>
      <c r="K47" s="23" t="b">
        <v>1</v>
      </c>
      <c r="L47" s="23" t="b">
        <v>0</v>
      </c>
      <c r="M47" s="23" t="b">
        <v>1</v>
      </c>
      <c r="N47" s="23" t="b">
        <v>0</v>
      </c>
      <c r="O47" s="23" t="b">
        <v>0</v>
      </c>
      <c r="P47" s="9"/>
      <c r="Q47" s="9"/>
      <c r="R47" s="22"/>
      <c r="T47" s="24" t="str">
        <f t="shared" si="5"/>
        <v>IC IV</v>
      </c>
    </row>
    <row r="48">
      <c r="A48" s="20">
        <f t="shared" si="9"/>
        <v>47</v>
      </c>
      <c r="B48" s="9" t="s">
        <v>114</v>
      </c>
      <c r="C48" s="9" t="s">
        <v>387</v>
      </c>
      <c r="D48" s="21">
        <v>2024.0</v>
      </c>
      <c r="E48" s="21">
        <v>-1.0</v>
      </c>
      <c r="F48" s="9" t="s">
        <v>290</v>
      </c>
      <c r="G48" s="9" t="s">
        <v>71</v>
      </c>
      <c r="H48" s="9" t="s">
        <v>327</v>
      </c>
      <c r="I48" s="22">
        <f t="shared" si="4"/>
        <v>2</v>
      </c>
      <c r="J48" s="23" t="b">
        <v>1</v>
      </c>
      <c r="K48" s="23" t="b">
        <v>0</v>
      </c>
      <c r="L48" s="23" t="b">
        <v>0</v>
      </c>
      <c r="M48" s="23" t="b">
        <v>1</v>
      </c>
      <c r="N48" s="23" t="b">
        <v>0</v>
      </c>
      <c r="O48" s="23" t="b">
        <v>1</v>
      </c>
      <c r="P48" s="9"/>
      <c r="Q48" s="9"/>
      <c r="R48" s="22"/>
      <c r="T48" s="24" t="str">
        <f t="shared" si="5"/>
        <v>IC III</v>
      </c>
    </row>
    <row r="49">
      <c r="A49" s="20">
        <f t="shared" si="9"/>
        <v>48</v>
      </c>
      <c r="B49" s="9" t="s">
        <v>115</v>
      </c>
      <c r="C49" s="9" t="s">
        <v>388</v>
      </c>
      <c r="D49" s="21">
        <v>2023.0</v>
      </c>
      <c r="E49" s="21">
        <v>40.0</v>
      </c>
      <c r="F49" s="9" t="s">
        <v>389</v>
      </c>
      <c r="G49" s="9" t="s">
        <v>67</v>
      </c>
      <c r="H49" s="9" t="s">
        <v>341</v>
      </c>
      <c r="I49" s="22">
        <f t="shared" si="4"/>
        <v>1</v>
      </c>
      <c r="J49" s="23" t="b">
        <v>1</v>
      </c>
      <c r="K49" s="23" t="b">
        <v>0</v>
      </c>
      <c r="L49" s="23" t="b">
        <v>0</v>
      </c>
      <c r="M49" s="23" t="b">
        <v>1</v>
      </c>
      <c r="N49" s="23" t="b">
        <v>0</v>
      </c>
      <c r="O49" s="23" t="b">
        <v>0</v>
      </c>
      <c r="P49" s="9"/>
      <c r="Q49" s="9"/>
      <c r="R49" s="22"/>
      <c r="T49" s="24" t="str">
        <f t="shared" si="5"/>
        <v>IC III</v>
      </c>
    </row>
    <row r="50">
      <c r="A50" s="20">
        <f t="shared" si="9"/>
        <v>49</v>
      </c>
      <c r="B50" s="9" t="s">
        <v>116</v>
      </c>
      <c r="C50" s="9" t="s">
        <v>390</v>
      </c>
      <c r="D50" s="21">
        <v>2024.0</v>
      </c>
      <c r="E50" s="21">
        <v>8.0</v>
      </c>
      <c r="F50" s="9" t="s">
        <v>391</v>
      </c>
      <c r="G50" s="9" t="s">
        <v>67</v>
      </c>
      <c r="H50" s="9" t="s">
        <v>323</v>
      </c>
      <c r="I50" s="22">
        <f t="shared" si="4"/>
        <v>1</v>
      </c>
      <c r="J50" s="23" t="b">
        <v>1</v>
      </c>
      <c r="K50" s="23" t="b">
        <v>1</v>
      </c>
      <c r="L50" s="23" t="b">
        <v>0</v>
      </c>
      <c r="M50" s="23" t="b">
        <v>1</v>
      </c>
      <c r="N50" s="23" t="b">
        <v>0</v>
      </c>
      <c r="O50" s="23" t="b">
        <v>0</v>
      </c>
      <c r="P50" s="9"/>
      <c r="Q50" s="9"/>
      <c r="R50" s="22"/>
      <c r="T50" s="24" t="str">
        <f t="shared" si="5"/>
        <v>IC IV</v>
      </c>
    </row>
    <row r="51">
      <c r="A51" s="20">
        <f t="shared" si="9"/>
        <v>50</v>
      </c>
      <c r="B51" s="9" t="s">
        <v>117</v>
      </c>
      <c r="C51" s="9" t="s">
        <v>392</v>
      </c>
      <c r="D51" s="21">
        <v>2024.0</v>
      </c>
      <c r="E51" s="21">
        <v>2.0</v>
      </c>
      <c r="F51" s="9" t="s">
        <v>393</v>
      </c>
      <c r="G51" s="9" t="s">
        <v>67</v>
      </c>
      <c r="H51" s="9" t="s">
        <v>296</v>
      </c>
      <c r="I51" s="22">
        <f t="shared" si="4"/>
        <v>1</v>
      </c>
      <c r="J51" s="23" t="b">
        <v>1</v>
      </c>
      <c r="K51" s="23" t="b">
        <v>1</v>
      </c>
      <c r="L51" s="23" t="b">
        <v>1</v>
      </c>
      <c r="M51" s="23" t="b">
        <v>0</v>
      </c>
      <c r="N51" s="23" t="b">
        <v>0</v>
      </c>
      <c r="O51" s="23" t="b">
        <v>0</v>
      </c>
      <c r="P51" s="23" t="b">
        <v>1</v>
      </c>
      <c r="Q51" s="23" t="b">
        <v>1</v>
      </c>
      <c r="R51" s="22"/>
      <c r="T51" s="24" t="str">
        <f t="shared" si="5"/>
        <v>EC V</v>
      </c>
    </row>
    <row r="52">
      <c r="A52" s="20">
        <f t="shared" si="9"/>
        <v>51</v>
      </c>
      <c r="B52" s="9" t="s">
        <v>118</v>
      </c>
      <c r="C52" s="9" t="s">
        <v>394</v>
      </c>
      <c r="D52" s="21">
        <v>2024.0</v>
      </c>
      <c r="E52" s="21">
        <v>-1.0</v>
      </c>
      <c r="F52" s="9" t="s">
        <v>290</v>
      </c>
      <c r="G52" s="9" t="s">
        <v>71</v>
      </c>
      <c r="H52" s="9" t="s">
        <v>320</v>
      </c>
      <c r="I52" s="22">
        <f t="shared" si="4"/>
        <v>1</v>
      </c>
      <c r="J52" s="23" t="b">
        <v>1</v>
      </c>
      <c r="K52" s="23" t="b">
        <v>1</v>
      </c>
      <c r="L52" s="23" t="b">
        <v>0</v>
      </c>
      <c r="M52" s="23" t="b">
        <v>1</v>
      </c>
      <c r="N52" s="23" t="b">
        <v>0</v>
      </c>
      <c r="O52" s="23" t="b">
        <v>0</v>
      </c>
      <c r="P52" s="9"/>
      <c r="Q52" s="9"/>
      <c r="R52" s="22"/>
      <c r="T52" s="24" t="str">
        <f t="shared" si="5"/>
        <v>IC IV</v>
      </c>
    </row>
    <row r="53">
      <c r="A53" s="20">
        <f t="shared" si="9"/>
        <v>52</v>
      </c>
      <c r="B53" s="28" t="s">
        <v>119</v>
      </c>
      <c r="C53" s="9" t="s">
        <v>395</v>
      </c>
      <c r="D53" s="21">
        <v>2023.0</v>
      </c>
      <c r="E53" s="21">
        <v>-1.0</v>
      </c>
      <c r="F53" s="9" t="s">
        <v>290</v>
      </c>
      <c r="G53" s="9" t="s">
        <v>71</v>
      </c>
      <c r="H53" s="9" t="s">
        <v>320</v>
      </c>
      <c r="I53" s="22">
        <f t="shared" si="4"/>
        <v>1</v>
      </c>
      <c r="J53" s="23" t="b">
        <v>1</v>
      </c>
      <c r="K53" s="23" t="b">
        <v>0</v>
      </c>
      <c r="L53" s="23" t="b">
        <v>0</v>
      </c>
      <c r="M53" s="23" t="b">
        <v>0</v>
      </c>
      <c r="N53" s="23" t="b">
        <v>1</v>
      </c>
      <c r="O53" s="23" t="b">
        <v>0</v>
      </c>
      <c r="P53" s="23" t="b">
        <v>1</v>
      </c>
      <c r="Q53" s="23" t="b">
        <v>0</v>
      </c>
      <c r="R53" s="22"/>
      <c r="T53" s="24" t="str">
        <f t="shared" si="5"/>
        <v>IC III</v>
      </c>
    </row>
    <row r="54">
      <c r="A54" s="20">
        <f t="shared" si="9"/>
        <v>53</v>
      </c>
      <c r="B54" s="9" t="s">
        <v>120</v>
      </c>
      <c r="C54" s="9" t="s">
        <v>396</v>
      </c>
      <c r="D54" s="21">
        <v>2023.0</v>
      </c>
      <c r="E54" s="21">
        <v>-1.0</v>
      </c>
      <c r="F54" s="9" t="s">
        <v>290</v>
      </c>
      <c r="G54" s="9" t="s">
        <v>71</v>
      </c>
      <c r="H54" s="9" t="s">
        <v>323</v>
      </c>
      <c r="I54" s="22">
        <f t="shared" si="4"/>
        <v>1</v>
      </c>
      <c r="J54" s="23" t="b">
        <v>1</v>
      </c>
      <c r="K54" s="23" t="b">
        <v>0</v>
      </c>
      <c r="L54" s="23" t="b">
        <v>0</v>
      </c>
      <c r="M54" s="23" t="b">
        <v>0</v>
      </c>
      <c r="N54" s="23" t="b">
        <v>0</v>
      </c>
      <c r="O54" s="23" t="b">
        <v>1</v>
      </c>
      <c r="P54" s="9"/>
      <c r="Q54" s="9"/>
      <c r="R54" s="22"/>
      <c r="T54" s="24" t="str">
        <f t="shared" si="5"/>
        <v>IC III</v>
      </c>
    </row>
    <row r="55">
      <c r="A55" s="20">
        <f t="shared" si="9"/>
        <v>54</v>
      </c>
      <c r="B55" s="9" t="s">
        <v>121</v>
      </c>
      <c r="C55" s="9" t="s">
        <v>397</v>
      </c>
      <c r="D55" s="21">
        <v>2025.0</v>
      </c>
      <c r="E55" s="21">
        <v>-1.0</v>
      </c>
      <c r="F55" s="9" t="s">
        <v>290</v>
      </c>
      <c r="G55" s="9" t="s">
        <v>71</v>
      </c>
      <c r="H55" s="9" t="s">
        <v>347</v>
      </c>
      <c r="I55" s="22">
        <f t="shared" si="4"/>
        <v>2</v>
      </c>
      <c r="J55" s="23" t="b">
        <v>1</v>
      </c>
      <c r="K55" s="23" t="b">
        <v>1</v>
      </c>
      <c r="L55" s="23" t="b">
        <v>0</v>
      </c>
      <c r="M55" s="23" t="b">
        <v>1</v>
      </c>
      <c r="N55" s="23" t="b">
        <v>0</v>
      </c>
      <c r="O55" s="23" t="b">
        <v>0</v>
      </c>
      <c r="P55" s="9"/>
      <c r="Q55" s="9"/>
      <c r="R55" s="22"/>
      <c r="T55" s="24" t="str">
        <f t="shared" si="5"/>
        <v>IC IV</v>
      </c>
    </row>
    <row r="56">
      <c r="A56" s="20">
        <f t="shared" si="9"/>
        <v>55</v>
      </c>
      <c r="B56" s="9" t="s">
        <v>122</v>
      </c>
      <c r="C56" s="9" t="s">
        <v>398</v>
      </c>
      <c r="D56" s="21">
        <v>2024.0</v>
      </c>
      <c r="E56" s="21">
        <v>-1.0</v>
      </c>
      <c r="F56" s="9" t="s">
        <v>290</v>
      </c>
      <c r="G56" s="9" t="s">
        <v>71</v>
      </c>
      <c r="H56" s="9" t="s">
        <v>320</v>
      </c>
      <c r="I56" s="22">
        <f t="shared" si="4"/>
        <v>1</v>
      </c>
      <c r="J56" s="23" t="b">
        <v>1</v>
      </c>
      <c r="K56" s="23" t="b">
        <v>1</v>
      </c>
      <c r="L56" s="23" t="b">
        <v>0</v>
      </c>
      <c r="M56" s="23" t="b">
        <v>1</v>
      </c>
      <c r="N56" s="23" t="b">
        <v>0</v>
      </c>
      <c r="O56" s="23" t="b">
        <v>0</v>
      </c>
      <c r="P56" s="9"/>
      <c r="Q56" s="9"/>
      <c r="R56" s="22"/>
      <c r="T56" s="24" t="str">
        <f t="shared" si="5"/>
        <v>IC IV</v>
      </c>
    </row>
    <row r="57">
      <c r="A57" s="20">
        <f t="shared" si="9"/>
        <v>56</v>
      </c>
      <c r="B57" s="9" t="s">
        <v>123</v>
      </c>
      <c r="C57" s="9" t="s">
        <v>399</v>
      </c>
      <c r="D57" s="21">
        <v>2023.0</v>
      </c>
      <c r="E57" s="21">
        <v>8.0</v>
      </c>
      <c r="F57" s="26" t="s">
        <v>400</v>
      </c>
      <c r="G57" s="9" t="s">
        <v>67</v>
      </c>
      <c r="H57" s="9" t="s">
        <v>362</v>
      </c>
      <c r="I57" s="22">
        <f t="shared" si="4"/>
        <v>1</v>
      </c>
      <c r="J57" s="23" t="b">
        <v>1</v>
      </c>
      <c r="K57" s="23" t="b">
        <v>1</v>
      </c>
      <c r="L57" s="23" t="b">
        <v>1</v>
      </c>
      <c r="M57" s="23" t="b">
        <v>0</v>
      </c>
      <c r="N57" s="23" t="b">
        <v>0</v>
      </c>
      <c r="O57" s="23" t="b">
        <v>0</v>
      </c>
      <c r="P57" s="23" t="b">
        <v>1</v>
      </c>
      <c r="Q57" s="23" t="b">
        <v>0</v>
      </c>
      <c r="R57" s="22"/>
      <c r="T57" s="24" t="str">
        <f t="shared" si="5"/>
        <v>OK</v>
      </c>
    </row>
    <row r="58">
      <c r="A58" s="20">
        <f t="shared" si="9"/>
        <v>57</v>
      </c>
      <c r="B58" s="9" t="s">
        <v>124</v>
      </c>
      <c r="C58" s="9" t="s">
        <v>401</v>
      </c>
      <c r="D58" s="21">
        <v>2024.0</v>
      </c>
      <c r="E58" s="21">
        <v>7.0</v>
      </c>
      <c r="F58" s="9" t="s">
        <v>295</v>
      </c>
      <c r="G58" s="9" t="s">
        <v>67</v>
      </c>
      <c r="H58" s="9" t="s">
        <v>296</v>
      </c>
      <c r="I58" s="22">
        <f t="shared" si="4"/>
        <v>1</v>
      </c>
      <c r="J58" s="23" t="b">
        <v>1</v>
      </c>
      <c r="K58" s="23" t="b">
        <v>1</v>
      </c>
      <c r="L58" s="23" t="b">
        <v>0</v>
      </c>
      <c r="M58" s="23" t="b">
        <v>1</v>
      </c>
      <c r="N58" s="23" t="b">
        <v>0</v>
      </c>
      <c r="O58" s="23" t="b">
        <v>0</v>
      </c>
      <c r="P58" s="9"/>
      <c r="Q58" s="9"/>
      <c r="R58" s="22"/>
      <c r="T58" s="24" t="str">
        <f t="shared" si="5"/>
        <v>IC IV</v>
      </c>
    </row>
    <row r="59">
      <c r="A59" s="20">
        <f t="shared" si="9"/>
        <v>58</v>
      </c>
      <c r="B59" s="9" t="s">
        <v>125</v>
      </c>
      <c r="C59" s="9" t="s">
        <v>402</v>
      </c>
      <c r="D59" s="21">
        <v>2025.0</v>
      </c>
      <c r="E59" s="21">
        <v>-1.0</v>
      </c>
      <c r="F59" s="9" t="s">
        <v>290</v>
      </c>
      <c r="G59" s="9" t="s">
        <v>71</v>
      </c>
      <c r="H59" s="9" t="s">
        <v>403</v>
      </c>
      <c r="I59" s="22">
        <f t="shared" si="4"/>
        <v>2</v>
      </c>
      <c r="J59" s="23" t="b">
        <v>1</v>
      </c>
      <c r="K59" s="23" t="b">
        <v>1</v>
      </c>
      <c r="L59" s="23" t="b">
        <v>0</v>
      </c>
      <c r="M59" s="23" t="b">
        <v>1</v>
      </c>
      <c r="N59" s="23" t="b">
        <v>0</v>
      </c>
      <c r="O59" s="23" t="b">
        <v>0</v>
      </c>
      <c r="P59" s="9"/>
      <c r="Q59" s="9"/>
      <c r="R59" s="22"/>
      <c r="T59" s="24" t="str">
        <f t="shared" si="5"/>
        <v>IC IV</v>
      </c>
    </row>
    <row r="60">
      <c r="A60" s="20">
        <f t="shared" si="9"/>
        <v>59</v>
      </c>
      <c r="B60" s="9" t="s">
        <v>126</v>
      </c>
      <c r="C60" s="9" t="s">
        <v>404</v>
      </c>
      <c r="D60" s="21">
        <v>2025.0</v>
      </c>
      <c r="E60" s="21">
        <v>-1.0</v>
      </c>
      <c r="F60" s="9" t="s">
        <v>290</v>
      </c>
      <c r="G60" s="9" t="s">
        <v>71</v>
      </c>
      <c r="H60" s="9" t="s">
        <v>354</v>
      </c>
      <c r="I60" s="22">
        <f t="shared" si="4"/>
        <v>3</v>
      </c>
      <c r="J60" s="23" t="b">
        <v>1</v>
      </c>
      <c r="K60" s="23" t="b">
        <v>0</v>
      </c>
      <c r="L60" s="23" t="b">
        <v>0</v>
      </c>
      <c r="M60" s="23" t="b">
        <v>1</v>
      </c>
      <c r="N60" s="23" t="b">
        <v>0</v>
      </c>
      <c r="O60" s="23" t="b">
        <v>0</v>
      </c>
      <c r="P60" s="9"/>
      <c r="Q60" s="9"/>
      <c r="R60" s="22"/>
      <c r="T60" s="24" t="str">
        <f t="shared" si="5"/>
        <v>IC III</v>
      </c>
    </row>
    <row r="61">
      <c r="A61" s="20">
        <f t="shared" si="9"/>
        <v>60</v>
      </c>
      <c r="B61" s="9" t="s">
        <v>127</v>
      </c>
      <c r="C61" s="9" t="s">
        <v>405</v>
      </c>
      <c r="D61" s="21">
        <v>2024.0</v>
      </c>
      <c r="E61" s="21">
        <v>-1.0</v>
      </c>
      <c r="F61" s="9" t="s">
        <v>290</v>
      </c>
      <c r="G61" s="9" t="s">
        <v>71</v>
      </c>
      <c r="H61" s="9" t="s">
        <v>406</v>
      </c>
      <c r="I61" s="22">
        <f t="shared" si="4"/>
        <v>3</v>
      </c>
      <c r="J61" s="23" t="b">
        <v>1</v>
      </c>
      <c r="K61" s="23" t="b">
        <v>1</v>
      </c>
      <c r="L61" s="23" t="b">
        <v>0</v>
      </c>
      <c r="M61" s="23" t="b">
        <v>1</v>
      </c>
      <c r="N61" s="23" t="b">
        <v>0</v>
      </c>
      <c r="O61" s="23" t="b">
        <v>0</v>
      </c>
      <c r="P61" s="9"/>
      <c r="Q61" s="9"/>
      <c r="R61" s="22"/>
      <c r="T61" s="24" t="str">
        <f t="shared" si="5"/>
        <v>IC IV</v>
      </c>
    </row>
    <row r="62">
      <c r="A62" s="20">
        <f t="shared" si="9"/>
        <v>61</v>
      </c>
      <c r="B62" s="9" t="s">
        <v>128</v>
      </c>
      <c r="C62" s="9" t="s">
        <v>407</v>
      </c>
      <c r="D62" s="21">
        <v>2023.0</v>
      </c>
      <c r="E62" s="21">
        <v>68.0</v>
      </c>
      <c r="F62" s="9" t="s">
        <v>295</v>
      </c>
      <c r="G62" s="9" t="s">
        <v>67</v>
      </c>
      <c r="H62" s="9" t="s">
        <v>352</v>
      </c>
      <c r="I62" s="22">
        <f t="shared" si="4"/>
        <v>2</v>
      </c>
      <c r="J62" s="23" t="b">
        <v>1</v>
      </c>
      <c r="K62" s="23" t="b">
        <v>1</v>
      </c>
      <c r="L62" s="23" t="b">
        <v>0</v>
      </c>
      <c r="M62" s="23" t="b">
        <v>1</v>
      </c>
      <c r="N62" s="23" t="b">
        <v>0</v>
      </c>
      <c r="O62" s="23" t="b">
        <v>0</v>
      </c>
      <c r="P62" s="9"/>
      <c r="Q62" s="9"/>
      <c r="R62" s="22"/>
      <c r="T62" s="24" t="str">
        <f t="shared" si="5"/>
        <v>IC IV</v>
      </c>
    </row>
    <row r="63">
      <c r="A63" s="20">
        <f t="shared" si="9"/>
        <v>62</v>
      </c>
      <c r="B63" s="9" t="s">
        <v>129</v>
      </c>
      <c r="C63" s="9" t="s">
        <v>407</v>
      </c>
      <c r="D63" s="21">
        <v>2023.0</v>
      </c>
      <c r="E63" s="21">
        <v>68.0</v>
      </c>
      <c r="F63" s="9" t="s">
        <v>295</v>
      </c>
      <c r="G63" s="9" t="s">
        <v>67</v>
      </c>
      <c r="H63" s="9" t="s">
        <v>341</v>
      </c>
      <c r="I63" s="22">
        <f t="shared" si="4"/>
        <v>1</v>
      </c>
      <c r="J63" s="29" t="b">
        <v>1</v>
      </c>
      <c r="K63" s="29" t="b">
        <v>0</v>
      </c>
      <c r="L63" s="29" t="b">
        <v>0</v>
      </c>
      <c r="M63" s="29" t="b">
        <v>1</v>
      </c>
      <c r="N63" s="29" t="b">
        <v>1</v>
      </c>
      <c r="O63" s="29" t="b">
        <v>1</v>
      </c>
      <c r="P63" s="9"/>
      <c r="Q63" s="9"/>
      <c r="R63" s="17">
        <v>61.0</v>
      </c>
      <c r="T63" s="24" t="str">
        <f t="shared" si="5"/>
        <v>IC III</v>
      </c>
    </row>
    <row r="64">
      <c r="A64" s="20">
        <f t="shared" si="9"/>
        <v>63</v>
      </c>
      <c r="B64" s="9" t="s">
        <v>130</v>
      </c>
      <c r="C64" s="9" t="s">
        <v>408</v>
      </c>
      <c r="D64" s="21">
        <v>2025.0</v>
      </c>
      <c r="E64" s="21">
        <v>-1.0</v>
      </c>
      <c r="F64" s="9" t="s">
        <v>290</v>
      </c>
      <c r="G64" s="9" t="s">
        <v>71</v>
      </c>
      <c r="H64" s="9" t="s">
        <v>291</v>
      </c>
      <c r="I64" s="22">
        <f t="shared" si="4"/>
        <v>2</v>
      </c>
      <c r="J64" s="23" t="b">
        <v>1</v>
      </c>
      <c r="K64" s="23" t="b">
        <v>0</v>
      </c>
      <c r="L64" s="23" t="b">
        <v>0</v>
      </c>
      <c r="M64" s="23" t="b">
        <v>1</v>
      </c>
      <c r="N64" s="23" t="b">
        <v>0</v>
      </c>
      <c r="O64" s="23" t="b">
        <v>1</v>
      </c>
      <c r="P64" s="9"/>
      <c r="Q64" s="9"/>
      <c r="R64" s="22"/>
      <c r="T64" s="24" t="str">
        <f t="shared" si="5"/>
        <v>IC III</v>
      </c>
    </row>
    <row r="65">
      <c r="A65" s="20">
        <f t="shared" si="9"/>
        <v>64</v>
      </c>
      <c r="B65" s="9" t="s">
        <v>131</v>
      </c>
      <c r="C65" s="9" t="s">
        <v>409</v>
      </c>
      <c r="D65" s="21">
        <v>2023.0</v>
      </c>
      <c r="E65" s="21">
        <v>-1.0</v>
      </c>
      <c r="F65" s="9" t="s">
        <v>290</v>
      </c>
      <c r="G65" s="9" t="s">
        <v>71</v>
      </c>
      <c r="H65" s="9" t="s">
        <v>323</v>
      </c>
      <c r="I65" s="22">
        <f t="shared" si="4"/>
        <v>1</v>
      </c>
      <c r="J65" s="23" t="b">
        <v>1</v>
      </c>
      <c r="K65" s="23" t="b">
        <v>0</v>
      </c>
      <c r="L65" s="23" t="b">
        <v>0</v>
      </c>
      <c r="M65" s="23" t="b">
        <v>1</v>
      </c>
      <c r="N65" s="23" t="b">
        <v>0</v>
      </c>
      <c r="O65" s="23" t="b">
        <v>1</v>
      </c>
      <c r="P65" s="9"/>
      <c r="Q65" s="9"/>
      <c r="R65" s="22"/>
      <c r="T65" s="24" t="str">
        <f t="shared" si="5"/>
        <v>IC III</v>
      </c>
    </row>
    <row r="66">
      <c r="A66" s="20">
        <f t="shared" si="9"/>
        <v>65</v>
      </c>
      <c r="B66" s="9" t="s">
        <v>132</v>
      </c>
      <c r="C66" s="9" t="s">
        <v>410</v>
      </c>
      <c r="D66" s="21">
        <v>2025.0</v>
      </c>
      <c r="E66" s="21">
        <v>-1.0</v>
      </c>
      <c r="F66" s="9" t="s">
        <v>290</v>
      </c>
      <c r="G66" s="9" t="s">
        <v>71</v>
      </c>
      <c r="H66" s="9" t="s">
        <v>411</v>
      </c>
      <c r="I66" s="22">
        <f t="shared" si="4"/>
        <v>2</v>
      </c>
      <c r="J66" s="23" t="b">
        <v>1</v>
      </c>
      <c r="K66" s="23" t="b">
        <v>1</v>
      </c>
      <c r="L66" s="23" t="b">
        <v>0</v>
      </c>
      <c r="M66" s="23" t="b">
        <v>1</v>
      </c>
      <c r="N66" s="23" t="b">
        <v>0</v>
      </c>
      <c r="O66" s="23" t="b">
        <v>0</v>
      </c>
      <c r="P66" s="9"/>
      <c r="Q66" s="9"/>
      <c r="R66" s="22"/>
      <c r="T66" s="24" t="str">
        <f t="shared" si="5"/>
        <v>IC IV</v>
      </c>
    </row>
    <row r="67">
      <c r="A67" s="20">
        <f t="shared" si="9"/>
        <v>66</v>
      </c>
      <c r="B67" s="9" t="s">
        <v>133</v>
      </c>
      <c r="C67" s="9" t="s">
        <v>412</v>
      </c>
      <c r="D67" s="21">
        <v>2025.0</v>
      </c>
      <c r="E67" s="21">
        <v>5.0</v>
      </c>
      <c r="F67" s="9" t="s">
        <v>413</v>
      </c>
      <c r="G67" s="9" t="s">
        <v>67</v>
      </c>
      <c r="H67" s="9" t="s">
        <v>323</v>
      </c>
      <c r="I67" s="22">
        <f t="shared" si="4"/>
        <v>1</v>
      </c>
      <c r="J67" s="23" t="b">
        <v>1</v>
      </c>
      <c r="K67" s="23" t="b">
        <v>1</v>
      </c>
      <c r="L67" s="23" t="b">
        <v>0</v>
      </c>
      <c r="M67" s="23" t="b">
        <v>1</v>
      </c>
      <c r="N67" s="23" t="b">
        <v>0</v>
      </c>
      <c r="O67" s="23" t="b">
        <v>0</v>
      </c>
      <c r="P67" s="9"/>
      <c r="Q67" s="9"/>
      <c r="R67" s="22"/>
      <c r="T67" s="24" t="str">
        <f t="shared" si="5"/>
        <v>IC IV</v>
      </c>
    </row>
    <row r="68">
      <c r="A68" s="20">
        <f t="shared" si="9"/>
        <v>67</v>
      </c>
      <c r="B68" s="9" t="s">
        <v>134</v>
      </c>
      <c r="C68" s="9" t="s">
        <v>414</v>
      </c>
      <c r="D68" s="21">
        <v>2023.0</v>
      </c>
      <c r="E68" s="21">
        <v>17.0</v>
      </c>
      <c r="F68" s="26" t="s">
        <v>415</v>
      </c>
      <c r="G68" s="9" t="s">
        <v>67</v>
      </c>
      <c r="H68" s="9" t="s">
        <v>341</v>
      </c>
      <c r="I68" s="22">
        <f t="shared" si="4"/>
        <v>1</v>
      </c>
      <c r="J68" s="23" t="b">
        <v>1</v>
      </c>
      <c r="K68" s="23" t="b">
        <v>1</v>
      </c>
      <c r="L68" s="23" t="b">
        <v>1</v>
      </c>
      <c r="M68" s="23" t="b">
        <v>0</v>
      </c>
      <c r="N68" s="23" t="b">
        <v>0</v>
      </c>
      <c r="O68" s="23" t="b">
        <v>0</v>
      </c>
      <c r="P68" s="23" t="b">
        <v>1</v>
      </c>
      <c r="Q68" s="23" t="b">
        <v>0</v>
      </c>
      <c r="R68" s="22"/>
      <c r="T68" s="24" t="str">
        <f t="shared" si="5"/>
        <v>OK</v>
      </c>
    </row>
    <row r="69">
      <c r="A69" s="20">
        <f t="shared" si="9"/>
        <v>68</v>
      </c>
      <c r="B69" s="9" t="s">
        <v>135</v>
      </c>
      <c r="C69" s="9" t="s">
        <v>416</v>
      </c>
      <c r="D69" s="21">
        <v>2023.0</v>
      </c>
      <c r="E69" s="21">
        <v>-1.0</v>
      </c>
      <c r="F69" s="9" t="s">
        <v>290</v>
      </c>
      <c r="G69" s="9" t="s">
        <v>71</v>
      </c>
      <c r="H69" s="9" t="s">
        <v>417</v>
      </c>
      <c r="I69" s="22">
        <f t="shared" si="4"/>
        <v>2</v>
      </c>
      <c r="J69" s="23" t="b">
        <v>1</v>
      </c>
      <c r="K69" s="23" t="b">
        <v>1</v>
      </c>
      <c r="L69" s="23" t="b">
        <v>0</v>
      </c>
      <c r="M69" s="23" t="b">
        <v>1</v>
      </c>
      <c r="N69" s="23" t="b">
        <v>0</v>
      </c>
      <c r="O69" s="23" t="b">
        <v>0</v>
      </c>
      <c r="P69" s="9"/>
      <c r="Q69" s="9"/>
      <c r="R69" s="22"/>
      <c r="T69" s="24" t="str">
        <f t="shared" si="5"/>
        <v>IC IV</v>
      </c>
    </row>
    <row r="70">
      <c r="A70" s="20">
        <f t="shared" si="9"/>
        <v>69</v>
      </c>
      <c r="B70" s="9" t="s">
        <v>136</v>
      </c>
      <c r="C70" s="9" t="s">
        <v>418</v>
      </c>
      <c r="D70" s="21">
        <v>2025.0</v>
      </c>
      <c r="E70" s="21">
        <v>3.0</v>
      </c>
      <c r="F70" s="9" t="s">
        <v>419</v>
      </c>
      <c r="G70" s="9" t="s">
        <v>67</v>
      </c>
      <c r="H70" s="9" t="s">
        <v>362</v>
      </c>
      <c r="I70" s="22">
        <f t="shared" si="4"/>
        <v>1</v>
      </c>
      <c r="J70" s="23" t="b">
        <v>1</v>
      </c>
      <c r="K70" s="23" t="b">
        <v>0</v>
      </c>
      <c r="L70" s="23" t="b">
        <v>0</v>
      </c>
      <c r="M70" s="23" t="b">
        <v>1</v>
      </c>
      <c r="N70" s="23" t="b">
        <v>0</v>
      </c>
      <c r="O70" s="23" t="b">
        <v>0</v>
      </c>
      <c r="P70" s="9"/>
      <c r="Q70" s="9"/>
      <c r="R70" s="22"/>
      <c r="T70" s="24" t="str">
        <f t="shared" si="5"/>
        <v>IC III</v>
      </c>
    </row>
    <row r="71">
      <c r="A71" s="20">
        <f t="shared" si="9"/>
        <v>70</v>
      </c>
      <c r="B71" s="28" t="s">
        <v>181</v>
      </c>
      <c r="C71" s="9" t="s">
        <v>420</v>
      </c>
      <c r="D71" s="21">
        <v>2024.0</v>
      </c>
      <c r="E71" s="21">
        <v>-1.0</v>
      </c>
      <c r="F71" s="9" t="s">
        <v>290</v>
      </c>
      <c r="G71" s="9" t="s">
        <v>71</v>
      </c>
      <c r="H71" s="9" t="s">
        <v>320</v>
      </c>
      <c r="I71" s="22">
        <f t="shared" si="4"/>
        <v>1</v>
      </c>
      <c r="J71" s="23" t="b">
        <v>1</v>
      </c>
      <c r="K71" s="23" t="b">
        <v>0</v>
      </c>
      <c r="L71" s="23" t="b">
        <v>0</v>
      </c>
      <c r="M71" s="23" t="b">
        <v>0</v>
      </c>
      <c r="N71" s="23" t="b">
        <v>1</v>
      </c>
      <c r="O71" s="23" t="b">
        <v>0</v>
      </c>
      <c r="P71" s="23" t="b">
        <v>1</v>
      </c>
      <c r="Q71" s="23" t="b">
        <v>0</v>
      </c>
      <c r="R71" s="22"/>
      <c r="T71" s="24" t="str">
        <f t="shared" si="5"/>
        <v>IC III</v>
      </c>
    </row>
    <row r="72">
      <c r="A72" s="20">
        <f t="shared" si="9"/>
        <v>71</v>
      </c>
      <c r="B72" s="9" t="s">
        <v>138</v>
      </c>
      <c r="C72" s="9" t="s">
        <v>421</v>
      </c>
      <c r="D72" s="21">
        <v>2023.0</v>
      </c>
      <c r="E72" s="21">
        <v>-1.0</v>
      </c>
      <c r="F72" s="9" t="s">
        <v>290</v>
      </c>
      <c r="G72" s="9" t="s">
        <v>71</v>
      </c>
      <c r="H72" s="9" t="s">
        <v>320</v>
      </c>
      <c r="I72" s="22">
        <f t="shared" si="4"/>
        <v>1</v>
      </c>
      <c r="J72" s="23" t="b">
        <v>1</v>
      </c>
      <c r="K72" s="23" t="b">
        <v>0</v>
      </c>
      <c r="L72" s="23" t="b">
        <v>1</v>
      </c>
      <c r="M72" s="23" t="b">
        <v>0</v>
      </c>
      <c r="N72" s="23" t="b">
        <v>0</v>
      </c>
      <c r="O72" s="23" t="b">
        <v>0</v>
      </c>
      <c r="P72" s="9"/>
      <c r="Q72" s="9"/>
      <c r="R72" s="22"/>
      <c r="T72" s="24" t="str">
        <f t="shared" si="5"/>
        <v>IC III</v>
      </c>
    </row>
    <row r="73">
      <c r="A73" s="20">
        <f t="shared" si="9"/>
        <v>72</v>
      </c>
      <c r="B73" s="9" t="s">
        <v>139</v>
      </c>
      <c r="C73" s="9" t="s">
        <v>422</v>
      </c>
      <c r="D73" s="21">
        <v>2023.0</v>
      </c>
      <c r="E73" s="21">
        <v>-1.0</v>
      </c>
      <c r="F73" s="9" t="s">
        <v>290</v>
      </c>
      <c r="G73" s="9" t="s">
        <v>71</v>
      </c>
      <c r="H73" s="9" t="s">
        <v>313</v>
      </c>
      <c r="I73" s="22">
        <f t="shared" si="4"/>
        <v>1</v>
      </c>
      <c r="J73" s="23" t="b">
        <v>1</v>
      </c>
      <c r="K73" s="23" t="b">
        <v>1</v>
      </c>
      <c r="L73" s="23" t="b">
        <v>0</v>
      </c>
      <c r="M73" s="23" t="b">
        <v>1</v>
      </c>
      <c r="N73" s="23" t="b">
        <v>0</v>
      </c>
      <c r="O73" s="23" t="b">
        <v>0</v>
      </c>
      <c r="P73" s="9"/>
      <c r="Q73" s="9"/>
      <c r="R73" s="22"/>
      <c r="T73" s="24" t="str">
        <f t="shared" si="5"/>
        <v>IC IV</v>
      </c>
    </row>
    <row r="74">
      <c r="A74" s="20">
        <f t="shared" si="9"/>
        <v>73</v>
      </c>
      <c r="B74" s="9" t="s">
        <v>140</v>
      </c>
      <c r="C74" s="9" t="s">
        <v>423</v>
      </c>
      <c r="D74" s="21">
        <v>2023.0</v>
      </c>
      <c r="E74" s="21">
        <v>121.0</v>
      </c>
      <c r="F74" s="26" t="s">
        <v>424</v>
      </c>
      <c r="G74" s="9" t="s">
        <v>67</v>
      </c>
      <c r="H74" s="9" t="s">
        <v>323</v>
      </c>
      <c r="I74" s="22">
        <f t="shared" si="4"/>
        <v>1</v>
      </c>
      <c r="J74" s="23" t="b">
        <v>1</v>
      </c>
      <c r="K74" s="23" t="b">
        <v>1</v>
      </c>
      <c r="L74" s="23" t="b">
        <v>1</v>
      </c>
      <c r="M74" s="23" t="b">
        <v>0</v>
      </c>
      <c r="N74" s="23" t="b">
        <v>0</v>
      </c>
      <c r="O74" s="23" t="b">
        <v>0</v>
      </c>
      <c r="P74" s="23" t="b">
        <v>1</v>
      </c>
      <c r="Q74" s="23" t="b">
        <v>0</v>
      </c>
      <c r="R74" s="22"/>
      <c r="T74" s="24" t="str">
        <f t="shared" si="5"/>
        <v>OK</v>
      </c>
    </row>
    <row r="75">
      <c r="A75" s="20">
        <f t="shared" si="9"/>
        <v>74</v>
      </c>
      <c r="B75" s="9" t="s">
        <v>201</v>
      </c>
      <c r="C75" s="9" t="s">
        <v>425</v>
      </c>
      <c r="D75" s="21">
        <v>2024.0</v>
      </c>
      <c r="E75" s="21">
        <v>-1.0</v>
      </c>
      <c r="F75" s="9" t="s">
        <v>290</v>
      </c>
      <c r="G75" s="9" t="s">
        <v>71</v>
      </c>
      <c r="H75" s="9" t="s">
        <v>426</v>
      </c>
      <c r="I75" s="22">
        <f t="shared" si="4"/>
        <v>2</v>
      </c>
      <c r="J75" s="23" t="b">
        <v>1</v>
      </c>
      <c r="K75" s="23" t="b">
        <v>0</v>
      </c>
      <c r="L75" s="23" t="b">
        <v>0</v>
      </c>
      <c r="M75" s="23" t="b">
        <v>0</v>
      </c>
      <c r="N75" s="23" t="b">
        <v>1</v>
      </c>
      <c r="O75" s="23" t="b">
        <v>0</v>
      </c>
      <c r="P75" s="23" t="b">
        <v>1</v>
      </c>
      <c r="Q75" s="23" t="b">
        <v>0</v>
      </c>
      <c r="R75" s="22"/>
      <c r="T75" s="24" t="str">
        <f t="shared" si="5"/>
        <v>IC III</v>
      </c>
    </row>
    <row r="76">
      <c r="A76" s="20">
        <f t="shared" si="9"/>
        <v>75</v>
      </c>
      <c r="B76" s="9" t="s">
        <v>142</v>
      </c>
      <c r="C76" s="9" t="s">
        <v>427</v>
      </c>
      <c r="D76" s="21">
        <v>2024.0</v>
      </c>
      <c r="E76" s="21">
        <v>18.0</v>
      </c>
      <c r="F76" s="9" t="s">
        <v>295</v>
      </c>
      <c r="G76" s="9" t="s">
        <v>67</v>
      </c>
      <c r="H76" s="9" t="s">
        <v>329</v>
      </c>
      <c r="I76" s="22">
        <f t="shared" si="4"/>
        <v>1</v>
      </c>
      <c r="J76" s="23" t="b">
        <v>1</v>
      </c>
      <c r="K76" s="23" t="b">
        <v>1</v>
      </c>
      <c r="L76" s="23" t="b">
        <v>0</v>
      </c>
      <c r="M76" s="23" t="b">
        <v>1</v>
      </c>
      <c r="N76" s="23" t="b">
        <v>0</v>
      </c>
      <c r="O76" s="23" t="b">
        <v>0</v>
      </c>
      <c r="P76" s="9"/>
      <c r="Q76" s="9"/>
      <c r="R76" s="22"/>
      <c r="T76" s="24" t="str">
        <f t="shared" si="5"/>
        <v>IC IV</v>
      </c>
    </row>
    <row r="77">
      <c r="A77" s="20">
        <f t="shared" si="9"/>
        <v>76</v>
      </c>
      <c r="B77" s="9" t="s">
        <v>143</v>
      </c>
      <c r="C77" s="9" t="s">
        <v>428</v>
      </c>
      <c r="D77" s="21">
        <v>2023.0</v>
      </c>
      <c r="E77" s="21">
        <v>16.0</v>
      </c>
      <c r="F77" s="9" t="s">
        <v>429</v>
      </c>
      <c r="G77" s="9" t="s">
        <v>67</v>
      </c>
      <c r="H77" s="9" t="s">
        <v>329</v>
      </c>
      <c r="I77" s="22">
        <f t="shared" si="4"/>
        <v>1</v>
      </c>
      <c r="J77" s="23" t="b">
        <v>1</v>
      </c>
      <c r="K77" s="23" t="b">
        <v>1</v>
      </c>
      <c r="L77" s="23" t="b">
        <v>0</v>
      </c>
      <c r="M77" s="23" t="b">
        <v>1</v>
      </c>
      <c r="N77" s="23" t="b">
        <v>0</v>
      </c>
      <c r="O77" s="23" t="b">
        <v>0</v>
      </c>
      <c r="P77" s="9"/>
      <c r="Q77" s="9"/>
      <c r="R77" s="22"/>
      <c r="T77" s="24" t="str">
        <f t="shared" si="5"/>
        <v>IC IV</v>
      </c>
    </row>
    <row r="78">
      <c r="A78" s="20">
        <f t="shared" si="9"/>
        <v>77</v>
      </c>
      <c r="B78" s="9" t="s">
        <v>144</v>
      </c>
      <c r="C78" s="9" t="s">
        <v>430</v>
      </c>
      <c r="D78" s="21">
        <v>2024.0</v>
      </c>
      <c r="E78" s="21">
        <v>5.0</v>
      </c>
      <c r="F78" s="9" t="s">
        <v>431</v>
      </c>
      <c r="G78" s="9" t="s">
        <v>67</v>
      </c>
      <c r="H78" s="9" t="s">
        <v>313</v>
      </c>
      <c r="I78" s="22">
        <f t="shared" si="4"/>
        <v>1</v>
      </c>
      <c r="J78" s="23" t="b">
        <v>1</v>
      </c>
      <c r="K78" s="23" t="b">
        <v>1</v>
      </c>
      <c r="L78" s="23" t="b">
        <v>0</v>
      </c>
      <c r="M78" s="23" t="b">
        <v>1</v>
      </c>
      <c r="N78" s="23" t="b">
        <v>0</v>
      </c>
      <c r="O78" s="23" t="b">
        <v>0</v>
      </c>
      <c r="P78" s="9"/>
      <c r="Q78" s="9"/>
      <c r="R78" s="22"/>
      <c r="T78" s="24" t="str">
        <f t="shared" si="5"/>
        <v>IC IV</v>
      </c>
    </row>
    <row r="79">
      <c r="A79" s="20">
        <f t="shared" si="9"/>
        <v>78</v>
      </c>
      <c r="B79" s="9" t="s">
        <v>145</v>
      </c>
      <c r="C79" s="9" t="s">
        <v>430</v>
      </c>
      <c r="D79" s="21">
        <v>2024.0</v>
      </c>
      <c r="E79" s="21">
        <v>5.0</v>
      </c>
      <c r="F79" s="9" t="s">
        <v>431</v>
      </c>
      <c r="G79" s="9" t="s">
        <v>67</v>
      </c>
      <c r="H79" s="9" t="s">
        <v>313</v>
      </c>
      <c r="I79" s="22">
        <f t="shared" si="4"/>
        <v>1</v>
      </c>
      <c r="J79" s="29" t="b">
        <v>1</v>
      </c>
      <c r="K79" s="29" t="b">
        <v>1</v>
      </c>
      <c r="L79" s="29" t="b">
        <v>0</v>
      </c>
      <c r="M79" s="29" t="b">
        <v>1</v>
      </c>
      <c r="N79" s="29" t="b">
        <v>0</v>
      </c>
      <c r="O79" s="29" t="b">
        <v>0</v>
      </c>
      <c r="P79" s="9"/>
      <c r="Q79" s="9"/>
      <c r="R79" s="17">
        <v>77.0</v>
      </c>
      <c r="T79" s="24" t="str">
        <f t="shared" si="5"/>
        <v>IC IV</v>
      </c>
    </row>
    <row r="80">
      <c r="A80" s="20">
        <f t="shared" si="9"/>
        <v>79</v>
      </c>
      <c r="B80" s="9" t="s">
        <v>146</v>
      </c>
      <c r="C80" s="9" t="s">
        <v>432</v>
      </c>
      <c r="D80" s="21">
        <v>2024.0</v>
      </c>
      <c r="E80" s="21">
        <v>12.0</v>
      </c>
      <c r="F80" s="9" t="s">
        <v>295</v>
      </c>
      <c r="G80" s="9" t="s">
        <v>67</v>
      </c>
      <c r="H80" s="9" t="s">
        <v>313</v>
      </c>
      <c r="I80" s="22">
        <f t="shared" si="4"/>
        <v>1</v>
      </c>
      <c r="J80" s="23" t="b">
        <v>1</v>
      </c>
      <c r="K80" s="23" t="b">
        <v>1</v>
      </c>
      <c r="L80" s="23" t="b">
        <v>0</v>
      </c>
      <c r="M80" s="23" t="b">
        <v>1</v>
      </c>
      <c r="N80" s="23" t="b">
        <v>0</v>
      </c>
      <c r="O80" s="23" t="b">
        <v>0</v>
      </c>
      <c r="P80" s="9"/>
      <c r="Q80" s="9"/>
      <c r="R80" s="22"/>
      <c r="T80" s="24" t="str">
        <f t="shared" si="5"/>
        <v>IC IV</v>
      </c>
    </row>
    <row r="81">
      <c r="A81" s="20">
        <f t="shared" si="9"/>
        <v>80</v>
      </c>
      <c r="B81" s="9" t="s">
        <v>147</v>
      </c>
      <c r="C81" s="9" t="s">
        <v>433</v>
      </c>
      <c r="D81" s="21">
        <v>2023.0</v>
      </c>
      <c r="E81" s="21">
        <v>-1.0</v>
      </c>
      <c r="F81" s="9" t="s">
        <v>290</v>
      </c>
      <c r="G81" s="9" t="s">
        <v>71</v>
      </c>
      <c r="H81" s="9" t="s">
        <v>434</v>
      </c>
      <c r="I81" s="22">
        <f t="shared" si="4"/>
        <v>3</v>
      </c>
      <c r="J81" s="23" t="b">
        <v>1</v>
      </c>
      <c r="K81" s="23" t="b">
        <v>1</v>
      </c>
      <c r="L81" s="23" t="b">
        <v>0</v>
      </c>
      <c r="M81" s="23" t="b">
        <v>1</v>
      </c>
      <c r="N81" s="23" t="b">
        <v>0</v>
      </c>
      <c r="O81" s="23" t="b">
        <v>0</v>
      </c>
      <c r="P81" s="9"/>
      <c r="Q81" s="9"/>
      <c r="R81" s="22"/>
      <c r="T81" s="24" t="str">
        <f t="shared" si="5"/>
        <v>IC IV</v>
      </c>
    </row>
    <row r="82">
      <c r="A82" s="20">
        <f t="shared" si="9"/>
        <v>81</v>
      </c>
      <c r="B82" s="9" t="s">
        <v>148</v>
      </c>
      <c r="C82" s="9" t="s">
        <v>435</v>
      </c>
      <c r="D82" s="21">
        <v>2024.0</v>
      </c>
      <c r="E82" s="21">
        <v>13.0</v>
      </c>
      <c r="F82" s="9" t="s">
        <v>436</v>
      </c>
      <c r="G82" s="9" t="s">
        <v>67</v>
      </c>
      <c r="H82" s="9" t="s">
        <v>323</v>
      </c>
      <c r="I82" s="22">
        <f t="shared" si="4"/>
        <v>1</v>
      </c>
      <c r="J82" s="23" t="b">
        <v>1</v>
      </c>
      <c r="K82" s="23" t="b">
        <v>1</v>
      </c>
      <c r="L82" s="23" t="b">
        <v>0</v>
      </c>
      <c r="M82" s="23" t="b">
        <v>1</v>
      </c>
      <c r="N82" s="23" t="b">
        <v>0</v>
      </c>
      <c r="O82" s="23" t="b">
        <v>0</v>
      </c>
      <c r="P82" s="9"/>
      <c r="Q82" s="9"/>
      <c r="R82" s="22"/>
      <c r="T82" s="24" t="str">
        <f t="shared" si="5"/>
        <v>IC IV</v>
      </c>
    </row>
    <row r="83">
      <c r="A83" s="20">
        <f t="shared" si="9"/>
        <v>82</v>
      </c>
      <c r="B83" s="9" t="s">
        <v>149</v>
      </c>
      <c r="C83" s="9" t="s">
        <v>437</v>
      </c>
      <c r="D83" s="21">
        <v>2025.0</v>
      </c>
      <c r="E83" s="21">
        <v>-1.0</v>
      </c>
      <c r="F83" s="9" t="s">
        <v>290</v>
      </c>
      <c r="G83" s="9" t="s">
        <v>71</v>
      </c>
      <c r="H83" s="9" t="s">
        <v>343</v>
      </c>
      <c r="I83" s="22">
        <f t="shared" si="4"/>
        <v>4</v>
      </c>
      <c r="J83" s="23" t="b">
        <v>1</v>
      </c>
      <c r="K83" s="23" t="b">
        <v>1</v>
      </c>
      <c r="L83" s="23" t="b">
        <v>0</v>
      </c>
      <c r="M83" s="23" t="b">
        <v>1</v>
      </c>
      <c r="N83" s="23" t="b">
        <v>0</v>
      </c>
      <c r="O83" s="23" t="b">
        <v>0</v>
      </c>
      <c r="P83" s="9"/>
      <c r="Q83" s="9"/>
      <c r="R83" s="22"/>
      <c r="T83" s="24" t="str">
        <f t="shared" si="5"/>
        <v>IC IV</v>
      </c>
    </row>
    <row r="84">
      <c r="A84" s="20">
        <f t="shared" si="9"/>
        <v>83</v>
      </c>
      <c r="B84" s="9" t="s">
        <v>150</v>
      </c>
      <c r="C84" s="9" t="s">
        <v>438</v>
      </c>
      <c r="D84" s="21">
        <v>2024.0</v>
      </c>
      <c r="E84" s="21">
        <v>-1.0</v>
      </c>
      <c r="F84" s="9" t="s">
        <v>290</v>
      </c>
      <c r="G84" s="9" t="s">
        <v>71</v>
      </c>
      <c r="H84" s="9" t="s">
        <v>341</v>
      </c>
      <c r="I84" s="22">
        <f t="shared" si="4"/>
        <v>1</v>
      </c>
      <c r="J84" s="23" t="b">
        <v>1</v>
      </c>
      <c r="K84" s="23" t="b">
        <v>0</v>
      </c>
      <c r="L84" s="23" t="b">
        <v>0</v>
      </c>
      <c r="M84" s="23" t="b">
        <v>1</v>
      </c>
      <c r="N84" s="23" t="b">
        <v>0</v>
      </c>
      <c r="O84" s="23" t="b">
        <v>1</v>
      </c>
      <c r="P84" s="9"/>
      <c r="Q84" s="9"/>
      <c r="R84" s="22"/>
      <c r="T84" s="24" t="str">
        <f t="shared" si="5"/>
        <v>IC III</v>
      </c>
    </row>
    <row r="85">
      <c r="A85" s="20">
        <f t="shared" si="9"/>
        <v>84</v>
      </c>
      <c r="B85" s="9" t="s">
        <v>151</v>
      </c>
      <c r="C85" s="9" t="s">
        <v>439</v>
      </c>
      <c r="D85" s="21">
        <v>2023.0</v>
      </c>
      <c r="E85" s="21">
        <v>3.0</v>
      </c>
      <c r="F85" s="26" t="s">
        <v>440</v>
      </c>
      <c r="G85" s="9" t="s">
        <v>67</v>
      </c>
      <c r="H85" s="9" t="s">
        <v>296</v>
      </c>
      <c r="I85" s="22">
        <f t="shared" si="4"/>
        <v>1</v>
      </c>
      <c r="J85" s="23" t="b">
        <v>1</v>
      </c>
      <c r="K85" s="23" t="b">
        <v>1</v>
      </c>
      <c r="L85" s="23" t="b">
        <v>1</v>
      </c>
      <c r="M85" s="23" t="b">
        <v>0</v>
      </c>
      <c r="N85" s="23" t="b">
        <v>0</v>
      </c>
      <c r="O85" s="23" t="b">
        <v>0</v>
      </c>
      <c r="P85" s="23" t="b">
        <v>1</v>
      </c>
      <c r="Q85" s="23" t="b">
        <v>0</v>
      </c>
      <c r="R85" s="22"/>
      <c r="T85" s="24" t="str">
        <f t="shared" si="5"/>
        <v>OK</v>
      </c>
    </row>
    <row r="86">
      <c r="A86" s="20">
        <f t="shared" si="9"/>
        <v>85</v>
      </c>
      <c r="B86" s="9" t="s">
        <v>152</v>
      </c>
      <c r="C86" s="9" t="s">
        <v>441</v>
      </c>
      <c r="D86" s="21">
        <v>2025.0</v>
      </c>
      <c r="E86" s="21">
        <v>2.0</v>
      </c>
      <c r="F86" s="9" t="s">
        <v>442</v>
      </c>
      <c r="G86" s="9" t="s">
        <v>67</v>
      </c>
      <c r="H86" s="9" t="s">
        <v>313</v>
      </c>
      <c r="I86" s="22">
        <f t="shared" si="4"/>
        <v>1</v>
      </c>
      <c r="J86" s="23" t="b">
        <v>1</v>
      </c>
      <c r="K86" s="23" t="b">
        <v>1</v>
      </c>
      <c r="L86" s="23" t="b">
        <v>0</v>
      </c>
      <c r="M86" s="23" t="b">
        <v>1</v>
      </c>
      <c r="N86" s="23" t="b">
        <v>0</v>
      </c>
      <c r="O86" s="23" t="b">
        <v>0</v>
      </c>
      <c r="P86" s="9"/>
      <c r="Q86" s="9"/>
      <c r="R86" s="22"/>
      <c r="T86" s="24" t="str">
        <f t="shared" si="5"/>
        <v>IC IV</v>
      </c>
    </row>
    <row r="87">
      <c r="A87" s="20">
        <f t="shared" si="9"/>
        <v>86</v>
      </c>
      <c r="B87" s="9" t="s">
        <v>153</v>
      </c>
      <c r="C87" s="9" t="s">
        <v>443</v>
      </c>
      <c r="D87" s="21">
        <v>2023.0</v>
      </c>
      <c r="E87" s="21">
        <v>34.0</v>
      </c>
      <c r="F87" s="9" t="s">
        <v>444</v>
      </c>
      <c r="G87" s="9" t="s">
        <v>67</v>
      </c>
      <c r="H87" s="9" t="s">
        <v>320</v>
      </c>
      <c r="I87" s="22">
        <f t="shared" si="4"/>
        <v>1</v>
      </c>
      <c r="J87" s="23" t="b">
        <v>1</v>
      </c>
      <c r="K87" s="23" t="b">
        <v>1</v>
      </c>
      <c r="L87" s="23" t="b">
        <v>0</v>
      </c>
      <c r="M87" s="23" t="b">
        <v>1</v>
      </c>
      <c r="N87" s="23" t="b">
        <v>0</v>
      </c>
      <c r="O87" s="23" t="b">
        <v>0</v>
      </c>
      <c r="P87" s="9"/>
      <c r="Q87" s="9"/>
      <c r="R87" s="22"/>
      <c r="T87" s="24" t="str">
        <f t="shared" si="5"/>
        <v>IC IV</v>
      </c>
    </row>
    <row r="88">
      <c r="A88" s="20">
        <f t="shared" si="9"/>
        <v>87</v>
      </c>
      <c r="B88" s="9" t="s">
        <v>154</v>
      </c>
      <c r="C88" s="9" t="s">
        <v>445</v>
      </c>
      <c r="D88" s="21">
        <v>2025.0</v>
      </c>
      <c r="E88" s="21">
        <v>-1.0</v>
      </c>
      <c r="F88" s="9" t="s">
        <v>290</v>
      </c>
      <c r="G88" s="9" t="s">
        <v>71</v>
      </c>
      <c r="H88" s="9" t="s">
        <v>341</v>
      </c>
      <c r="I88" s="22">
        <f t="shared" si="4"/>
        <v>1</v>
      </c>
      <c r="J88" s="23" t="b">
        <v>1</v>
      </c>
      <c r="K88" s="23" t="b">
        <v>0</v>
      </c>
      <c r="L88" s="23" t="b">
        <v>1</v>
      </c>
      <c r="M88" s="23" t="b">
        <v>0</v>
      </c>
      <c r="N88" s="23" t="b">
        <v>1</v>
      </c>
      <c r="O88" s="23" t="b">
        <v>0</v>
      </c>
      <c r="P88" s="9"/>
      <c r="Q88" s="9"/>
      <c r="R88" s="22"/>
      <c r="T88" s="24" t="str">
        <f t="shared" si="5"/>
        <v>IC III</v>
      </c>
    </row>
    <row r="89">
      <c r="A89" s="20">
        <f t="shared" si="9"/>
        <v>88</v>
      </c>
      <c r="B89" s="9" t="s">
        <v>155</v>
      </c>
      <c r="C89" s="9" t="s">
        <v>446</v>
      </c>
      <c r="D89" s="21">
        <v>2024.0</v>
      </c>
      <c r="E89" s="21">
        <v>-1.0</v>
      </c>
      <c r="F89" s="9" t="s">
        <v>290</v>
      </c>
      <c r="G89" s="9" t="s">
        <v>71</v>
      </c>
      <c r="H89" s="9" t="s">
        <v>320</v>
      </c>
      <c r="I89" s="22">
        <f t="shared" si="4"/>
        <v>1</v>
      </c>
      <c r="J89" s="23" t="b">
        <v>1</v>
      </c>
      <c r="K89" s="23" t="b">
        <v>0</v>
      </c>
      <c r="L89" s="23" t="b">
        <v>0</v>
      </c>
      <c r="M89" s="23" t="b">
        <v>1</v>
      </c>
      <c r="N89" s="23" t="b">
        <v>1</v>
      </c>
      <c r="O89" s="23" t="b">
        <v>0</v>
      </c>
      <c r="P89" s="9"/>
      <c r="Q89" s="9"/>
      <c r="R89" s="22"/>
      <c r="T89" s="24" t="str">
        <f t="shared" si="5"/>
        <v>IC III</v>
      </c>
    </row>
    <row r="90">
      <c r="A90" s="20">
        <f t="shared" si="9"/>
        <v>89</v>
      </c>
      <c r="B90" s="9" t="s">
        <v>156</v>
      </c>
      <c r="C90" s="9" t="s">
        <v>447</v>
      </c>
      <c r="D90" s="21">
        <v>2025.0</v>
      </c>
      <c r="E90" s="21">
        <v>1.0</v>
      </c>
      <c r="F90" s="9" t="s">
        <v>448</v>
      </c>
      <c r="G90" s="9" t="s">
        <v>67</v>
      </c>
      <c r="H90" s="9" t="s">
        <v>341</v>
      </c>
      <c r="I90" s="22">
        <f t="shared" si="4"/>
        <v>1</v>
      </c>
      <c r="J90" s="23" t="b">
        <v>1</v>
      </c>
      <c r="K90" s="23" t="b">
        <v>1</v>
      </c>
      <c r="L90" s="23" t="b">
        <v>0</v>
      </c>
      <c r="M90" s="23" t="b">
        <v>1</v>
      </c>
      <c r="N90" s="23" t="b">
        <v>0</v>
      </c>
      <c r="O90" s="23" t="b">
        <v>0</v>
      </c>
      <c r="P90" s="9"/>
      <c r="Q90" s="9"/>
      <c r="R90" s="22"/>
      <c r="T90" s="24" t="str">
        <f t="shared" si="5"/>
        <v>IC IV</v>
      </c>
    </row>
    <row r="91">
      <c r="A91" s="20">
        <f t="shared" si="9"/>
        <v>90</v>
      </c>
      <c r="B91" s="9" t="s">
        <v>157</v>
      </c>
      <c r="C91" s="9" t="s">
        <v>449</v>
      </c>
      <c r="D91" s="21">
        <v>2024.0</v>
      </c>
      <c r="E91" s="21">
        <v>8.0</v>
      </c>
      <c r="F91" s="9" t="s">
        <v>295</v>
      </c>
      <c r="G91" s="9" t="s">
        <v>67</v>
      </c>
      <c r="H91" s="9" t="s">
        <v>341</v>
      </c>
      <c r="I91" s="22">
        <f t="shared" si="4"/>
        <v>1</v>
      </c>
      <c r="J91" s="23" t="b">
        <v>1</v>
      </c>
      <c r="K91" s="23" t="b">
        <v>1</v>
      </c>
      <c r="L91" s="23" t="b">
        <v>0</v>
      </c>
      <c r="M91" s="23" t="b">
        <v>1</v>
      </c>
      <c r="N91" s="23" t="b">
        <v>0</v>
      </c>
      <c r="O91" s="23" t="b">
        <v>0</v>
      </c>
      <c r="P91" s="9"/>
      <c r="Q91" s="9"/>
      <c r="R91" s="22"/>
      <c r="T91" s="24" t="str">
        <f t="shared" si="5"/>
        <v>IC IV</v>
      </c>
    </row>
    <row r="92">
      <c r="A92" s="20">
        <f t="shared" si="9"/>
        <v>91</v>
      </c>
      <c r="B92" s="9" t="s">
        <v>158</v>
      </c>
      <c r="C92" s="9" t="s">
        <v>450</v>
      </c>
      <c r="D92" s="21">
        <v>2025.0</v>
      </c>
      <c r="E92" s="21">
        <v>-1.0</v>
      </c>
      <c r="F92" s="9" t="s">
        <v>290</v>
      </c>
      <c r="G92" s="9" t="s">
        <v>71</v>
      </c>
      <c r="H92" s="9" t="s">
        <v>377</v>
      </c>
      <c r="I92" s="22">
        <f t="shared" si="4"/>
        <v>3</v>
      </c>
      <c r="J92" s="23" t="b">
        <v>1</v>
      </c>
      <c r="K92" s="23" t="b">
        <v>1</v>
      </c>
      <c r="L92" s="23" t="b">
        <v>0</v>
      </c>
      <c r="M92" s="23" t="b">
        <v>1</v>
      </c>
      <c r="N92" s="23" t="b">
        <v>0</v>
      </c>
      <c r="O92" s="23" t="b">
        <v>0</v>
      </c>
      <c r="P92" s="9"/>
      <c r="Q92" s="9"/>
      <c r="R92" s="22"/>
      <c r="T92" s="24" t="str">
        <f t="shared" si="5"/>
        <v>IC IV</v>
      </c>
    </row>
    <row r="93">
      <c r="A93" s="20">
        <f t="shared" si="9"/>
        <v>92</v>
      </c>
      <c r="B93" s="9" t="s">
        <v>159</v>
      </c>
      <c r="C93" s="9" t="s">
        <v>451</v>
      </c>
      <c r="D93" s="21">
        <v>2023.0</v>
      </c>
      <c r="E93" s="21">
        <v>-1.0</v>
      </c>
      <c r="F93" s="9" t="s">
        <v>290</v>
      </c>
      <c r="G93" s="9" t="s">
        <v>71</v>
      </c>
      <c r="H93" s="9" t="s">
        <v>343</v>
      </c>
      <c r="I93" s="22">
        <f t="shared" si="4"/>
        <v>4</v>
      </c>
      <c r="J93" s="23" t="b">
        <v>1</v>
      </c>
      <c r="K93" s="23" t="b">
        <v>1</v>
      </c>
      <c r="L93" s="23" t="b">
        <v>0</v>
      </c>
      <c r="M93" s="23" t="b">
        <v>1</v>
      </c>
      <c r="N93" s="23" t="b">
        <v>0</v>
      </c>
      <c r="O93" s="23" t="b">
        <v>0</v>
      </c>
      <c r="P93" s="9"/>
      <c r="Q93" s="9"/>
      <c r="R93" s="22"/>
      <c r="T93" s="24" t="str">
        <f t="shared" si="5"/>
        <v>IC IV</v>
      </c>
    </row>
    <row r="94">
      <c r="A94" s="20">
        <f t="shared" si="9"/>
        <v>93</v>
      </c>
      <c r="B94" s="9" t="s">
        <v>160</v>
      </c>
      <c r="C94" s="9" t="s">
        <v>452</v>
      </c>
      <c r="D94" s="21">
        <v>2023.0</v>
      </c>
      <c r="E94" s="21">
        <v>-1.0</v>
      </c>
      <c r="F94" s="9" t="s">
        <v>290</v>
      </c>
      <c r="G94" s="9" t="s">
        <v>71</v>
      </c>
      <c r="H94" s="9" t="s">
        <v>323</v>
      </c>
      <c r="I94" s="22">
        <f t="shared" si="4"/>
        <v>1</v>
      </c>
      <c r="J94" s="23" t="b">
        <v>1</v>
      </c>
      <c r="K94" s="23" t="b">
        <v>1</v>
      </c>
      <c r="L94" s="23" t="b">
        <v>0</v>
      </c>
      <c r="M94" s="23" t="b">
        <v>1</v>
      </c>
      <c r="N94" s="23" t="b">
        <v>0</v>
      </c>
      <c r="O94" s="23" t="b">
        <v>0</v>
      </c>
      <c r="P94" s="9"/>
      <c r="Q94" s="9"/>
      <c r="R94" s="22"/>
      <c r="T94" s="24" t="str">
        <f t="shared" si="5"/>
        <v>IC IV</v>
      </c>
    </row>
    <row r="95">
      <c r="A95" s="20">
        <f t="shared" si="9"/>
        <v>94</v>
      </c>
      <c r="B95" s="9" t="s">
        <v>161</v>
      </c>
      <c r="C95" s="9" t="s">
        <v>453</v>
      </c>
      <c r="D95" s="21">
        <v>2025.0</v>
      </c>
      <c r="E95" s="21">
        <v>14.0</v>
      </c>
      <c r="F95" s="9" t="s">
        <v>295</v>
      </c>
      <c r="G95" s="9" t="s">
        <v>67</v>
      </c>
      <c r="H95" s="9" t="s">
        <v>320</v>
      </c>
      <c r="I95" s="22">
        <f t="shared" si="4"/>
        <v>1</v>
      </c>
      <c r="J95" s="23" t="b">
        <v>1</v>
      </c>
      <c r="K95" s="23" t="b">
        <v>1</v>
      </c>
      <c r="L95" s="23" t="b">
        <v>0</v>
      </c>
      <c r="M95" s="23" t="b">
        <v>1</v>
      </c>
      <c r="N95" s="23" t="b">
        <v>0</v>
      </c>
      <c r="O95" s="23" t="b">
        <v>0</v>
      </c>
      <c r="P95" s="9"/>
      <c r="Q95" s="9"/>
      <c r="R95" s="22"/>
      <c r="T95" s="24" t="str">
        <f t="shared" si="5"/>
        <v>IC IV</v>
      </c>
    </row>
    <row r="96">
      <c r="A96" s="20">
        <f t="shared" si="9"/>
        <v>95</v>
      </c>
      <c r="B96" s="9" t="s">
        <v>162</v>
      </c>
      <c r="C96" s="9" t="s">
        <v>454</v>
      </c>
      <c r="D96" s="21">
        <v>2025.0</v>
      </c>
      <c r="E96" s="21">
        <v>1.0</v>
      </c>
      <c r="F96" s="26" t="s">
        <v>455</v>
      </c>
      <c r="G96" s="9" t="s">
        <v>67</v>
      </c>
      <c r="H96" s="9" t="s">
        <v>362</v>
      </c>
      <c r="I96" s="22">
        <f t="shared" si="4"/>
        <v>1</v>
      </c>
      <c r="J96" s="23" t="b">
        <v>1</v>
      </c>
      <c r="K96" s="23" t="b">
        <v>1</v>
      </c>
      <c r="L96" s="23" t="b">
        <v>1</v>
      </c>
      <c r="M96" s="23" t="b">
        <v>0</v>
      </c>
      <c r="N96" s="23" t="b">
        <v>0</v>
      </c>
      <c r="O96" s="23" t="b">
        <v>0</v>
      </c>
      <c r="P96" s="23" t="b">
        <v>1</v>
      </c>
      <c r="Q96" s="23" t="b">
        <v>0</v>
      </c>
      <c r="R96" s="22"/>
      <c r="T96" s="24" t="str">
        <f t="shared" si="5"/>
        <v>OK</v>
      </c>
    </row>
    <row r="97">
      <c r="A97" s="20">
        <f t="shared" si="9"/>
        <v>96</v>
      </c>
      <c r="B97" s="9" t="s">
        <v>163</v>
      </c>
      <c r="C97" s="9" t="s">
        <v>456</v>
      </c>
      <c r="D97" s="21">
        <v>2025.0</v>
      </c>
      <c r="E97" s="21">
        <v>-1.0</v>
      </c>
      <c r="F97" s="9" t="s">
        <v>290</v>
      </c>
      <c r="G97" s="9" t="s">
        <v>71</v>
      </c>
      <c r="H97" s="9" t="s">
        <v>320</v>
      </c>
      <c r="I97" s="22">
        <f t="shared" si="4"/>
        <v>1</v>
      </c>
      <c r="J97" s="23" t="b">
        <v>1</v>
      </c>
      <c r="K97" s="23" t="b">
        <v>1</v>
      </c>
      <c r="L97" s="23" t="b">
        <v>0</v>
      </c>
      <c r="M97" s="23" t="b">
        <v>1</v>
      </c>
      <c r="N97" s="23" t="b">
        <v>0</v>
      </c>
      <c r="O97" s="23" t="b">
        <v>0</v>
      </c>
      <c r="P97" s="9"/>
      <c r="Q97" s="9"/>
      <c r="R97" s="22"/>
      <c r="T97" s="24" t="str">
        <f t="shared" si="5"/>
        <v>IC IV</v>
      </c>
    </row>
    <row r="98">
      <c r="A98" s="20">
        <f t="shared" si="9"/>
        <v>97</v>
      </c>
      <c r="B98" s="9" t="s">
        <v>164</v>
      </c>
      <c r="C98" s="9" t="s">
        <v>457</v>
      </c>
      <c r="D98" s="21">
        <v>2025.0</v>
      </c>
      <c r="E98" s="21">
        <v>1.0</v>
      </c>
      <c r="F98" s="9" t="s">
        <v>458</v>
      </c>
      <c r="G98" s="9" t="s">
        <v>67</v>
      </c>
      <c r="H98" s="9" t="s">
        <v>296</v>
      </c>
      <c r="I98" s="22">
        <f t="shared" si="4"/>
        <v>1</v>
      </c>
      <c r="J98" s="23" t="b">
        <v>1</v>
      </c>
      <c r="K98" s="23" t="b">
        <v>1</v>
      </c>
      <c r="L98" s="23" t="b">
        <v>0</v>
      </c>
      <c r="M98" s="23" t="b">
        <v>1</v>
      </c>
      <c r="N98" s="23" t="b">
        <v>0</v>
      </c>
      <c r="O98" s="23" t="b">
        <v>0</v>
      </c>
      <c r="P98" s="9"/>
      <c r="Q98" s="9"/>
      <c r="R98" s="22"/>
      <c r="T98" s="24" t="str">
        <f t="shared" si="5"/>
        <v>IC IV</v>
      </c>
    </row>
    <row r="99">
      <c r="A99" s="20">
        <f t="shared" si="9"/>
        <v>98</v>
      </c>
      <c r="B99" s="9" t="s">
        <v>165</v>
      </c>
      <c r="C99" s="9" t="s">
        <v>459</v>
      </c>
      <c r="D99" s="21">
        <v>2025.0</v>
      </c>
      <c r="E99" s="21">
        <v>-1.0</v>
      </c>
      <c r="F99" s="9" t="s">
        <v>290</v>
      </c>
      <c r="G99" s="9" t="s">
        <v>71</v>
      </c>
      <c r="H99" s="9" t="s">
        <v>329</v>
      </c>
      <c r="I99" s="22">
        <f t="shared" si="4"/>
        <v>1</v>
      </c>
      <c r="J99" s="23" t="b">
        <v>1</v>
      </c>
      <c r="K99" s="23" t="b">
        <v>1</v>
      </c>
      <c r="L99" s="23" t="b">
        <v>0</v>
      </c>
      <c r="M99" s="23" t="b">
        <v>1</v>
      </c>
      <c r="N99" s="23" t="b">
        <v>0</v>
      </c>
      <c r="O99" s="23" t="b">
        <v>0</v>
      </c>
      <c r="P99" s="9"/>
      <c r="Q99" s="9"/>
      <c r="R99" s="22"/>
      <c r="T99" s="24" t="str">
        <f t="shared" si="5"/>
        <v>IC IV</v>
      </c>
    </row>
    <row r="100">
      <c r="A100" s="20">
        <f t="shared" si="9"/>
        <v>99</v>
      </c>
      <c r="B100" s="9" t="s">
        <v>166</v>
      </c>
      <c r="C100" s="9" t="s">
        <v>460</v>
      </c>
      <c r="D100" s="21">
        <v>2025.0</v>
      </c>
      <c r="E100" s="21">
        <v>-1.0</v>
      </c>
      <c r="F100" s="9" t="s">
        <v>290</v>
      </c>
      <c r="G100" s="9" t="s">
        <v>71</v>
      </c>
      <c r="H100" s="9" t="s">
        <v>323</v>
      </c>
      <c r="I100" s="22">
        <f t="shared" si="4"/>
        <v>1</v>
      </c>
      <c r="J100" s="23" t="b">
        <v>1</v>
      </c>
      <c r="K100" s="23" t="b">
        <v>1</v>
      </c>
      <c r="L100" s="23" t="b">
        <v>0</v>
      </c>
      <c r="M100" s="23" t="b">
        <v>1</v>
      </c>
      <c r="N100" s="23" t="b">
        <v>1</v>
      </c>
      <c r="O100" s="23" t="b">
        <v>0</v>
      </c>
      <c r="P100" s="9"/>
      <c r="Q100" s="9"/>
      <c r="R100" s="22"/>
      <c r="T100" s="24" t="str">
        <f t="shared" si="5"/>
        <v>IC IV</v>
      </c>
    </row>
    <row r="101">
      <c r="A101" s="20">
        <f t="shared" si="9"/>
        <v>100</v>
      </c>
      <c r="B101" s="9" t="s">
        <v>167</v>
      </c>
      <c r="C101" s="9" t="s">
        <v>461</v>
      </c>
      <c r="D101" s="21">
        <v>2023.0</v>
      </c>
      <c r="E101" s="21">
        <v>13.0</v>
      </c>
      <c r="F101" s="9" t="s">
        <v>295</v>
      </c>
      <c r="G101" s="9" t="s">
        <v>67</v>
      </c>
      <c r="H101" s="9" t="s">
        <v>329</v>
      </c>
      <c r="I101" s="22">
        <f t="shared" si="4"/>
        <v>1</v>
      </c>
      <c r="J101" s="23" t="b">
        <v>1</v>
      </c>
      <c r="K101" s="23" t="b">
        <v>1</v>
      </c>
      <c r="L101" s="23" t="b">
        <v>0</v>
      </c>
      <c r="M101" s="23" t="b">
        <v>1</v>
      </c>
      <c r="N101" s="23" t="b">
        <v>0</v>
      </c>
      <c r="O101" s="23" t="b">
        <v>0</v>
      </c>
      <c r="P101" s="9"/>
      <c r="Q101" s="9"/>
      <c r="R101" s="22"/>
      <c r="T101" s="24" t="str">
        <f t="shared" si="5"/>
        <v>IC IV</v>
      </c>
    </row>
    <row r="102">
      <c r="A102" s="20">
        <f t="shared" si="9"/>
        <v>101</v>
      </c>
      <c r="B102" s="9" t="s">
        <v>168</v>
      </c>
      <c r="C102" s="9" t="s">
        <v>462</v>
      </c>
      <c r="D102" s="21">
        <v>2023.0</v>
      </c>
      <c r="E102" s="21">
        <v>99.0</v>
      </c>
      <c r="F102" s="9" t="s">
        <v>463</v>
      </c>
      <c r="G102" s="9" t="s">
        <v>67</v>
      </c>
      <c r="H102" s="9" t="s">
        <v>329</v>
      </c>
      <c r="I102" s="22">
        <f t="shared" si="4"/>
        <v>1</v>
      </c>
      <c r="J102" s="23" t="b">
        <v>1</v>
      </c>
      <c r="K102" s="23" t="b">
        <v>0</v>
      </c>
      <c r="L102" s="23" t="b">
        <v>0</v>
      </c>
      <c r="M102" s="23" t="b">
        <v>0</v>
      </c>
      <c r="N102" s="23" t="b">
        <v>0</v>
      </c>
      <c r="O102" s="23" t="b">
        <v>1</v>
      </c>
      <c r="P102" s="9"/>
      <c r="Q102" s="9"/>
      <c r="R102" s="22"/>
      <c r="T102" s="24" t="str">
        <f t="shared" si="5"/>
        <v>IC III</v>
      </c>
    </row>
    <row r="103">
      <c r="A103" s="20">
        <f t="shared" si="9"/>
        <v>102</v>
      </c>
      <c r="B103" s="9" t="s">
        <v>169</v>
      </c>
      <c r="C103" s="9" t="s">
        <v>464</v>
      </c>
      <c r="D103" s="21">
        <v>2025.0</v>
      </c>
      <c r="E103" s="21">
        <v>-1.0</v>
      </c>
      <c r="F103" s="9" t="s">
        <v>290</v>
      </c>
      <c r="G103" s="9" t="s">
        <v>71</v>
      </c>
      <c r="H103" s="9" t="s">
        <v>323</v>
      </c>
      <c r="I103" s="22">
        <f t="shared" si="4"/>
        <v>1</v>
      </c>
      <c r="J103" s="23" t="b">
        <v>1</v>
      </c>
      <c r="K103" s="23" t="b">
        <v>1</v>
      </c>
      <c r="L103" s="23" t="b">
        <v>0</v>
      </c>
      <c r="M103" s="23" t="b">
        <v>1</v>
      </c>
      <c r="N103" s="23" t="b">
        <v>1</v>
      </c>
      <c r="O103" s="23" t="b">
        <v>0</v>
      </c>
      <c r="P103" s="9"/>
      <c r="Q103" s="9"/>
      <c r="R103" s="22"/>
      <c r="T103" s="24" t="str">
        <f t="shared" si="5"/>
        <v>IC IV</v>
      </c>
    </row>
    <row r="104">
      <c r="A104" s="20">
        <f t="shared" si="9"/>
        <v>103</v>
      </c>
      <c r="B104" s="9" t="s">
        <v>170</v>
      </c>
      <c r="C104" s="9" t="s">
        <v>465</v>
      </c>
      <c r="D104" s="21">
        <v>2023.0</v>
      </c>
      <c r="E104" s="21">
        <v>3.0</v>
      </c>
      <c r="F104" s="9" t="s">
        <v>466</v>
      </c>
      <c r="G104" s="9" t="s">
        <v>67</v>
      </c>
      <c r="H104" s="9" t="s">
        <v>313</v>
      </c>
      <c r="I104" s="22">
        <f t="shared" si="4"/>
        <v>1</v>
      </c>
      <c r="J104" s="23" t="b">
        <v>1</v>
      </c>
      <c r="K104" s="23" t="b">
        <v>1</v>
      </c>
      <c r="L104" s="23" t="b">
        <v>0</v>
      </c>
      <c r="M104" s="23" t="b">
        <v>1</v>
      </c>
      <c r="N104" s="23" t="b">
        <v>0</v>
      </c>
      <c r="O104" s="23" t="b">
        <v>0</v>
      </c>
      <c r="P104" s="9"/>
      <c r="Q104" s="9"/>
      <c r="R104" s="22"/>
      <c r="T104" s="24" t="str">
        <f t="shared" si="5"/>
        <v>IC IV</v>
      </c>
    </row>
    <row r="105">
      <c r="A105" s="20">
        <f t="shared" si="9"/>
        <v>104</v>
      </c>
      <c r="B105" s="9" t="s">
        <v>171</v>
      </c>
      <c r="C105" s="9" t="s">
        <v>467</v>
      </c>
      <c r="D105" s="21">
        <v>2025.0</v>
      </c>
      <c r="E105" s="21">
        <v>-1.0</v>
      </c>
      <c r="F105" s="9" t="s">
        <v>290</v>
      </c>
      <c r="G105" s="9" t="s">
        <v>71</v>
      </c>
      <c r="H105" s="9" t="s">
        <v>291</v>
      </c>
      <c r="I105" s="22">
        <f t="shared" si="4"/>
        <v>2</v>
      </c>
      <c r="J105" s="23" t="b">
        <v>1</v>
      </c>
      <c r="K105" s="23" t="b">
        <v>1</v>
      </c>
      <c r="L105" s="23" t="b">
        <v>0</v>
      </c>
      <c r="M105" s="23" t="b">
        <v>1</v>
      </c>
      <c r="N105" s="23" t="b">
        <v>0</v>
      </c>
      <c r="O105" s="23" t="b">
        <v>0</v>
      </c>
      <c r="P105" s="9"/>
      <c r="Q105" s="9"/>
      <c r="R105" s="22"/>
      <c r="T105" s="24" t="str">
        <f t="shared" si="5"/>
        <v>IC IV</v>
      </c>
    </row>
    <row r="106">
      <c r="A106" s="20">
        <f t="shared" si="9"/>
        <v>105</v>
      </c>
      <c r="B106" s="9" t="s">
        <v>172</v>
      </c>
      <c r="C106" s="9" t="s">
        <v>468</v>
      </c>
      <c r="D106" s="21">
        <v>2024.0</v>
      </c>
      <c r="E106" s="21">
        <v>16.0</v>
      </c>
      <c r="F106" s="9" t="s">
        <v>469</v>
      </c>
      <c r="G106" s="9" t="s">
        <v>67</v>
      </c>
      <c r="H106" s="9" t="s">
        <v>313</v>
      </c>
      <c r="I106" s="22">
        <f t="shared" si="4"/>
        <v>1</v>
      </c>
      <c r="J106" s="23" t="b">
        <v>1</v>
      </c>
      <c r="K106" s="23" t="b">
        <v>1</v>
      </c>
      <c r="L106" s="23" t="b">
        <v>0</v>
      </c>
      <c r="M106" s="23" t="b">
        <v>1</v>
      </c>
      <c r="N106" s="23" t="b">
        <v>0</v>
      </c>
      <c r="O106" s="23" t="b">
        <v>0</v>
      </c>
      <c r="P106" s="9"/>
      <c r="Q106" s="9"/>
      <c r="R106" s="22"/>
      <c r="T106" s="24" t="str">
        <f t="shared" si="5"/>
        <v>IC IV</v>
      </c>
    </row>
    <row r="107">
      <c r="A107" s="20">
        <f t="shared" si="9"/>
        <v>106</v>
      </c>
      <c r="B107" s="9" t="s">
        <v>173</v>
      </c>
      <c r="C107" s="9" t="s">
        <v>470</v>
      </c>
      <c r="D107" s="21">
        <v>2024.0</v>
      </c>
      <c r="E107" s="21">
        <v>-1.0</v>
      </c>
      <c r="F107" s="9" t="s">
        <v>290</v>
      </c>
      <c r="G107" s="9" t="s">
        <v>71</v>
      </c>
      <c r="H107" s="9" t="s">
        <v>471</v>
      </c>
      <c r="I107" s="22">
        <f t="shared" si="4"/>
        <v>5</v>
      </c>
      <c r="J107" s="23" t="b">
        <v>1</v>
      </c>
      <c r="K107" s="23" t="b">
        <v>1</v>
      </c>
      <c r="L107" s="23" t="b">
        <v>0</v>
      </c>
      <c r="M107" s="23" t="b">
        <v>1</v>
      </c>
      <c r="N107" s="23" t="b">
        <v>0</v>
      </c>
      <c r="O107" s="23" t="b">
        <v>0</v>
      </c>
      <c r="P107" s="9"/>
      <c r="Q107" s="9"/>
      <c r="R107" s="22"/>
      <c r="T107" s="24" t="str">
        <f t="shared" si="5"/>
        <v>IC IV</v>
      </c>
    </row>
    <row r="108">
      <c r="A108" s="20">
        <f t="shared" si="9"/>
        <v>107</v>
      </c>
      <c r="B108" s="9" t="s">
        <v>174</v>
      </c>
      <c r="C108" s="9" t="s">
        <v>472</v>
      </c>
      <c r="D108" s="21">
        <v>2024.0</v>
      </c>
      <c r="E108" s="21">
        <v>2.0</v>
      </c>
      <c r="F108" s="9" t="s">
        <v>295</v>
      </c>
      <c r="G108" s="9" t="s">
        <v>67</v>
      </c>
      <c r="H108" s="9" t="s">
        <v>323</v>
      </c>
      <c r="I108" s="22">
        <f t="shared" si="4"/>
        <v>1</v>
      </c>
      <c r="J108" s="23" t="b">
        <v>1</v>
      </c>
      <c r="K108" s="23" t="b">
        <v>1</v>
      </c>
      <c r="L108" s="23" t="b">
        <v>0</v>
      </c>
      <c r="M108" s="23" t="b">
        <v>1</v>
      </c>
      <c r="N108" s="23" t="b">
        <v>0</v>
      </c>
      <c r="O108" s="23" t="b">
        <v>0</v>
      </c>
      <c r="P108" s="9"/>
      <c r="Q108" s="9"/>
      <c r="R108" s="22"/>
      <c r="T108" s="24" t="str">
        <f t="shared" si="5"/>
        <v>IC IV</v>
      </c>
    </row>
    <row r="109">
      <c r="A109" s="20">
        <f t="shared" si="9"/>
        <v>108</v>
      </c>
      <c r="B109" s="9" t="s">
        <v>175</v>
      </c>
      <c r="C109" s="9" t="s">
        <v>473</v>
      </c>
      <c r="D109" s="21">
        <v>2024.0</v>
      </c>
      <c r="E109" s="21">
        <v>5.0</v>
      </c>
      <c r="F109" s="9" t="s">
        <v>295</v>
      </c>
      <c r="G109" s="9" t="s">
        <v>67</v>
      </c>
      <c r="H109" s="9" t="s">
        <v>313</v>
      </c>
      <c r="I109" s="22">
        <f t="shared" si="4"/>
        <v>1</v>
      </c>
      <c r="J109" s="23" t="b">
        <v>1</v>
      </c>
      <c r="K109" s="23" t="b">
        <v>1</v>
      </c>
      <c r="L109" s="23" t="b">
        <v>1</v>
      </c>
      <c r="M109" s="23" t="b">
        <v>0</v>
      </c>
      <c r="N109" s="23" t="b">
        <v>0</v>
      </c>
      <c r="O109" s="23" t="b">
        <v>0</v>
      </c>
      <c r="P109" s="23" t="b">
        <v>1</v>
      </c>
      <c r="Q109" s="23" t="b">
        <v>1</v>
      </c>
      <c r="R109" s="22"/>
      <c r="T109" s="24" t="str">
        <f t="shared" si="5"/>
        <v>EC V</v>
      </c>
    </row>
    <row r="110">
      <c r="A110" s="20">
        <f t="shared" si="9"/>
        <v>109</v>
      </c>
      <c r="B110" s="9" t="s">
        <v>176</v>
      </c>
      <c r="C110" s="9" t="s">
        <v>474</v>
      </c>
      <c r="D110" s="21">
        <v>2025.0</v>
      </c>
      <c r="E110" s="21">
        <v>-1.0</v>
      </c>
      <c r="F110" s="9" t="s">
        <v>290</v>
      </c>
      <c r="G110" s="9" t="s">
        <v>71</v>
      </c>
      <c r="H110" s="9" t="s">
        <v>320</v>
      </c>
      <c r="I110" s="22">
        <f t="shared" si="4"/>
        <v>1</v>
      </c>
      <c r="J110" s="23" t="b">
        <v>1</v>
      </c>
      <c r="K110" s="23" t="b">
        <v>0</v>
      </c>
      <c r="L110" s="23" t="b">
        <v>0</v>
      </c>
      <c r="M110" s="23" t="b">
        <v>0</v>
      </c>
      <c r="N110" s="23" t="b">
        <v>0</v>
      </c>
      <c r="O110" s="23" t="b">
        <v>1</v>
      </c>
      <c r="P110" s="9"/>
      <c r="Q110" s="9"/>
      <c r="R110" s="22"/>
      <c r="T110" s="24" t="str">
        <f t="shared" si="5"/>
        <v>IC III</v>
      </c>
    </row>
    <row r="111">
      <c r="A111" s="20">
        <f t="shared" si="9"/>
        <v>110</v>
      </c>
      <c r="B111" s="28" t="s">
        <v>99</v>
      </c>
      <c r="C111" s="9" t="s">
        <v>475</v>
      </c>
      <c r="D111" s="21">
        <v>2024.0</v>
      </c>
      <c r="E111" s="21">
        <v>-1.0</v>
      </c>
      <c r="F111" s="9" t="s">
        <v>290</v>
      </c>
      <c r="G111" s="9" t="s">
        <v>71</v>
      </c>
      <c r="H111" s="9" t="s">
        <v>304</v>
      </c>
      <c r="I111" s="22">
        <f t="shared" si="4"/>
        <v>5</v>
      </c>
      <c r="J111" s="23" t="b">
        <v>1</v>
      </c>
      <c r="K111" s="23" t="b">
        <v>1</v>
      </c>
      <c r="L111" s="23" t="b">
        <v>0</v>
      </c>
      <c r="M111" s="23" t="b">
        <v>1</v>
      </c>
      <c r="N111" s="23" t="b">
        <v>0</v>
      </c>
      <c r="O111" s="23" t="b">
        <v>0</v>
      </c>
      <c r="P111" s="23" t="b">
        <v>1</v>
      </c>
      <c r="Q111" s="23" t="b">
        <v>1</v>
      </c>
      <c r="R111" s="22"/>
      <c r="T111" s="24" t="str">
        <f t="shared" si="5"/>
        <v>IC IV</v>
      </c>
    </row>
    <row r="112">
      <c r="A112" s="20">
        <f t="shared" si="9"/>
        <v>111</v>
      </c>
      <c r="B112" s="9" t="s">
        <v>178</v>
      </c>
      <c r="C112" s="9" t="s">
        <v>476</v>
      </c>
      <c r="D112" s="21">
        <v>2025.0</v>
      </c>
      <c r="E112" s="21">
        <v>2.0</v>
      </c>
      <c r="F112" s="9" t="s">
        <v>477</v>
      </c>
      <c r="G112" s="9" t="s">
        <v>67</v>
      </c>
      <c r="H112" s="9" t="s">
        <v>341</v>
      </c>
      <c r="I112" s="22">
        <f t="shared" si="4"/>
        <v>1</v>
      </c>
      <c r="J112" s="23" t="b">
        <v>1</v>
      </c>
      <c r="K112" s="23" t="b">
        <v>1</v>
      </c>
      <c r="L112" s="23" t="b">
        <v>0</v>
      </c>
      <c r="M112" s="23" t="b">
        <v>0</v>
      </c>
      <c r="N112" s="23" t="b">
        <v>0</v>
      </c>
      <c r="O112" s="23" t="b">
        <v>0</v>
      </c>
      <c r="P112" s="9"/>
      <c r="Q112" s="9"/>
      <c r="R112" s="22"/>
      <c r="T112" s="24" t="str">
        <f t="shared" si="5"/>
        <v>IC IV</v>
      </c>
    </row>
    <row r="113">
      <c r="A113" s="20">
        <f t="shared" si="9"/>
        <v>112</v>
      </c>
      <c r="B113" s="9" t="s">
        <v>179</v>
      </c>
      <c r="C113" s="9" t="s">
        <v>478</v>
      </c>
      <c r="D113" s="21">
        <v>2024.0</v>
      </c>
      <c r="E113" s="21">
        <v>41.0</v>
      </c>
      <c r="F113" s="9" t="s">
        <v>479</v>
      </c>
      <c r="G113" s="9" t="s">
        <v>67</v>
      </c>
      <c r="H113" s="9" t="s">
        <v>341</v>
      </c>
      <c r="I113" s="22">
        <f t="shared" si="4"/>
        <v>1</v>
      </c>
      <c r="J113" s="23" t="b">
        <v>1</v>
      </c>
      <c r="K113" s="23" t="b">
        <v>1</v>
      </c>
      <c r="L113" s="23" t="b">
        <v>0</v>
      </c>
      <c r="M113" s="23" t="b">
        <v>1</v>
      </c>
      <c r="N113" s="23" t="b">
        <v>0</v>
      </c>
      <c r="O113" s="23" t="b">
        <v>0</v>
      </c>
      <c r="P113" s="9"/>
      <c r="Q113" s="9"/>
      <c r="R113" s="22"/>
      <c r="T113" s="24" t="str">
        <f t="shared" si="5"/>
        <v>IC IV</v>
      </c>
    </row>
    <row r="114">
      <c r="A114" s="20">
        <f t="shared" si="9"/>
        <v>113</v>
      </c>
      <c r="B114" s="9" t="s">
        <v>180</v>
      </c>
      <c r="C114" s="9" t="s">
        <v>480</v>
      </c>
      <c r="D114" s="21">
        <v>2024.0</v>
      </c>
      <c r="E114" s="21">
        <v>7.0</v>
      </c>
      <c r="F114" s="9" t="s">
        <v>295</v>
      </c>
      <c r="G114" s="9" t="s">
        <v>67</v>
      </c>
      <c r="H114" s="9" t="s">
        <v>329</v>
      </c>
      <c r="I114" s="22">
        <f t="shared" si="4"/>
        <v>1</v>
      </c>
      <c r="J114" s="23" t="b">
        <v>1</v>
      </c>
      <c r="K114" s="23" t="b">
        <v>1</v>
      </c>
      <c r="L114" s="23" t="b">
        <v>0</v>
      </c>
      <c r="M114" s="23" t="b">
        <v>1</v>
      </c>
      <c r="N114" s="23" t="b">
        <v>0</v>
      </c>
      <c r="O114" s="23" t="b">
        <v>0</v>
      </c>
      <c r="P114" s="9"/>
      <c r="Q114" s="9"/>
      <c r="R114" s="22"/>
      <c r="T114" s="24" t="str">
        <f t="shared" si="5"/>
        <v>IC IV</v>
      </c>
    </row>
    <row r="115">
      <c r="A115" s="20">
        <f t="shared" si="9"/>
        <v>114</v>
      </c>
      <c r="B115" s="26" t="s">
        <v>237</v>
      </c>
      <c r="C115" s="9" t="s">
        <v>481</v>
      </c>
      <c r="D115" s="21">
        <v>2025.0</v>
      </c>
      <c r="E115" s="21">
        <v>-1.0</v>
      </c>
      <c r="F115" s="9" t="s">
        <v>290</v>
      </c>
      <c r="G115" s="9" t="s">
        <v>71</v>
      </c>
      <c r="H115" s="9" t="s">
        <v>327</v>
      </c>
      <c r="I115" s="22">
        <f t="shared" si="4"/>
        <v>2</v>
      </c>
      <c r="J115" s="23" t="b">
        <v>1</v>
      </c>
      <c r="K115" s="23" t="b">
        <v>1</v>
      </c>
      <c r="L115" s="23" t="b">
        <v>1</v>
      </c>
      <c r="M115" s="23" t="b">
        <v>0</v>
      </c>
      <c r="N115" s="23" t="b">
        <v>0</v>
      </c>
      <c r="O115" s="23" t="b">
        <v>0</v>
      </c>
      <c r="P115" s="23" t="b">
        <v>1</v>
      </c>
      <c r="Q115" s="23" t="b">
        <v>0</v>
      </c>
      <c r="R115" s="22"/>
      <c r="T115" s="24" t="str">
        <f t="shared" si="5"/>
        <v>OK</v>
      </c>
    </row>
    <row r="116">
      <c r="A116" s="20">
        <f t="shared" si="9"/>
        <v>115</v>
      </c>
      <c r="B116" s="9" t="s">
        <v>182</v>
      </c>
      <c r="C116" s="9" t="s">
        <v>482</v>
      </c>
      <c r="D116" s="21">
        <v>2025.0</v>
      </c>
      <c r="E116" s="21">
        <v>1.0</v>
      </c>
      <c r="F116" s="9" t="s">
        <v>483</v>
      </c>
      <c r="G116" s="9" t="s">
        <v>67</v>
      </c>
      <c r="H116" s="9" t="s">
        <v>296</v>
      </c>
      <c r="I116" s="22">
        <f t="shared" si="4"/>
        <v>1</v>
      </c>
      <c r="J116" s="23" t="b">
        <v>1</v>
      </c>
      <c r="K116" s="23" t="b">
        <v>0</v>
      </c>
      <c r="L116" s="23" t="b">
        <v>0</v>
      </c>
      <c r="M116" s="23" t="b">
        <v>0</v>
      </c>
      <c r="N116" s="23" t="b">
        <v>0</v>
      </c>
      <c r="O116" s="23" t="b">
        <v>1</v>
      </c>
      <c r="P116" s="9"/>
      <c r="Q116" s="9"/>
      <c r="R116" s="22"/>
      <c r="T116" s="24" t="str">
        <f t="shared" si="5"/>
        <v>IC III</v>
      </c>
    </row>
    <row r="117">
      <c r="A117" s="20">
        <f t="shared" si="9"/>
        <v>116</v>
      </c>
      <c r="B117" s="9" t="s">
        <v>183</v>
      </c>
      <c r="C117" s="9" t="s">
        <v>484</v>
      </c>
      <c r="D117" s="21">
        <v>2025.0</v>
      </c>
      <c r="E117" s="21">
        <v>-1.0</v>
      </c>
      <c r="F117" s="9" t="s">
        <v>290</v>
      </c>
      <c r="G117" s="9" t="s">
        <v>71</v>
      </c>
      <c r="H117" s="9" t="s">
        <v>485</v>
      </c>
      <c r="I117" s="22">
        <f t="shared" si="4"/>
        <v>3</v>
      </c>
      <c r="J117" s="23" t="b">
        <v>1</v>
      </c>
      <c r="K117" s="23" t="b">
        <v>1</v>
      </c>
      <c r="L117" s="23" t="b">
        <v>0</v>
      </c>
      <c r="M117" s="23" t="b">
        <v>1</v>
      </c>
      <c r="N117" s="23" t="b">
        <v>0</v>
      </c>
      <c r="O117" s="23" t="b">
        <v>0</v>
      </c>
      <c r="P117" s="9"/>
      <c r="Q117" s="9"/>
      <c r="R117" s="22"/>
      <c r="T117" s="24" t="str">
        <f t="shared" si="5"/>
        <v>IC IV</v>
      </c>
    </row>
    <row r="118">
      <c r="A118" s="20">
        <f t="shared" si="9"/>
        <v>117</v>
      </c>
      <c r="B118" s="9" t="s">
        <v>184</v>
      </c>
      <c r="C118" s="9" t="s">
        <v>486</v>
      </c>
      <c r="D118" s="21">
        <v>2025.0</v>
      </c>
      <c r="E118" s="21">
        <v>-1.0</v>
      </c>
      <c r="F118" s="9" t="s">
        <v>290</v>
      </c>
      <c r="G118" s="9" t="s">
        <v>71</v>
      </c>
      <c r="H118" s="9" t="s">
        <v>377</v>
      </c>
      <c r="I118" s="22">
        <f t="shared" si="4"/>
        <v>3</v>
      </c>
      <c r="J118" s="23" t="b">
        <v>1</v>
      </c>
      <c r="K118" s="23" t="b">
        <v>1</v>
      </c>
      <c r="L118" s="23" t="b">
        <v>0</v>
      </c>
      <c r="M118" s="23" t="b">
        <v>1</v>
      </c>
      <c r="N118" s="23" t="b">
        <v>0</v>
      </c>
      <c r="O118" s="23" t="b">
        <v>0</v>
      </c>
      <c r="P118" s="9"/>
      <c r="Q118" s="9"/>
      <c r="R118" s="22"/>
      <c r="T118" s="24" t="str">
        <f t="shared" si="5"/>
        <v>IC IV</v>
      </c>
    </row>
    <row r="119">
      <c r="A119" s="20">
        <f t="shared" si="9"/>
        <v>118</v>
      </c>
      <c r="B119" s="9" t="s">
        <v>185</v>
      </c>
      <c r="C119" s="9" t="s">
        <v>487</v>
      </c>
      <c r="D119" s="21">
        <v>2025.0</v>
      </c>
      <c r="E119" s="21">
        <v>-1.0</v>
      </c>
      <c r="F119" s="9" t="s">
        <v>290</v>
      </c>
      <c r="G119" s="9" t="s">
        <v>71</v>
      </c>
      <c r="H119" s="9" t="s">
        <v>341</v>
      </c>
      <c r="I119" s="22">
        <f t="shared" si="4"/>
        <v>1</v>
      </c>
      <c r="J119" s="23" t="b">
        <v>1</v>
      </c>
      <c r="K119" s="23" t="b">
        <v>0</v>
      </c>
      <c r="L119" s="23" t="b">
        <v>0</v>
      </c>
      <c r="M119" s="23" t="b">
        <v>1</v>
      </c>
      <c r="N119" s="23" t="b">
        <v>0</v>
      </c>
      <c r="O119" s="23" t="b">
        <v>0</v>
      </c>
      <c r="P119" s="9"/>
      <c r="Q119" s="9"/>
      <c r="R119" s="22"/>
      <c r="T119" s="24" t="str">
        <f t="shared" si="5"/>
        <v>IC III</v>
      </c>
    </row>
    <row r="120">
      <c r="A120" s="20">
        <f t="shared" si="9"/>
        <v>119</v>
      </c>
      <c r="B120" s="9" t="s">
        <v>186</v>
      </c>
      <c r="C120" s="9" t="s">
        <v>488</v>
      </c>
      <c r="D120" s="21">
        <v>2024.0</v>
      </c>
      <c r="E120" s="21">
        <v>1.0</v>
      </c>
      <c r="F120" s="9" t="s">
        <v>489</v>
      </c>
      <c r="G120" s="9" t="s">
        <v>67</v>
      </c>
      <c r="H120" s="9" t="s">
        <v>341</v>
      </c>
      <c r="I120" s="22">
        <f t="shared" si="4"/>
        <v>1</v>
      </c>
      <c r="J120" s="23" t="b">
        <v>1</v>
      </c>
      <c r="K120" s="23" t="b">
        <v>1</v>
      </c>
      <c r="L120" s="23" t="b">
        <v>0</v>
      </c>
      <c r="M120" s="23" t="b">
        <v>1</v>
      </c>
      <c r="N120" s="23" t="b">
        <v>0</v>
      </c>
      <c r="O120" s="23" t="b">
        <v>0</v>
      </c>
      <c r="P120" s="9"/>
      <c r="Q120" s="9"/>
      <c r="R120" s="22"/>
      <c r="T120" s="24" t="str">
        <f t="shared" si="5"/>
        <v>IC IV</v>
      </c>
    </row>
    <row r="121">
      <c r="A121" s="20">
        <f t="shared" si="9"/>
        <v>120</v>
      </c>
      <c r="B121" s="9" t="s">
        <v>187</v>
      </c>
      <c r="C121" s="9" t="s">
        <v>490</v>
      </c>
      <c r="D121" s="21">
        <v>2025.0</v>
      </c>
      <c r="E121" s="21">
        <v>1.0</v>
      </c>
      <c r="F121" s="9" t="s">
        <v>491</v>
      </c>
      <c r="G121" s="9" t="s">
        <v>67</v>
      </c>
      <c r="H121" s="9" t="s">
        <v>313</v>
      </c>
      <c r="I121" s="22">
        <f t="shared" si="4"/>
        <v>1</v>
      </c>
      <c r="J121" s="23" t="b">
        <v>1</v>
      </c>
      <c r="K121" s="23" t="b">
        <v>1</v>
      </c>
      <c r="L121" s="23" t="b">
        <v>0</v>
      </c>
      <c r="M121" s="23" t="b">
        <v>1</v>
      </c>
      <c r="N121" s="23" t="b">
        <v>0</v>
      </c>
      <c r="O121" s="23" t="b">
        <v>0</v>
      </c>
      <c r="P121" s="9"/>
      <c r="Q121" s="9"/>
      <c r="R121" s="22"/>
      <c r="T121" s="24" t="str">
        <f t="shared" si="5"/>
        <v>IC IV</v>
      </c>
    </row>
    <row r="122">
      <c r="A122" s="20">
        <f t="shared" si="9"/>
        <v>121</v>
      </c>
      <c r="B122" s="9" t="s">
        <v>188</v>
      </c>
      <c r="C122" s="9" t="s">
        <v>492</v>
      </c>
      <c r="D122" s="21">
        <v>2025.0</v>
      </c>
      <c r="E122" s="21">
        <v>12.0</v>
      </c>
      <c r="F122" s="9" t="s">
        <v>295</v>
      </c>
      <c r="G122" s="9" t="s">
        <v>67</v>
      </c>
      <c r="H122" s="9" t="s">
        <v>493</v>
      </c>
      <c r="I122" s="22">
        <f t="shared" si="4"/>
        <v>1</v>
      </c>
      <c r="J122" s="23" t="b">
        <v>1</v>
      </c>
      <c r="K122" s="23" t="b">
        <v>1</v>
      </c>
      <c r="L122" s="23" t="b">
        <v>0</v>
      </c>
      <c r="M122" s="23" t="b">
        <v>1</v>
      </c>
      <c r="N122" s="23" t="b">
        <v>0</v>
      </c>
      <c r="O122" s="23" t="b">
        <v>0</v>
      </c>
      <c r="P122" s="9"/>
      <c r="Q122" s="9"/>
      <c r="R122" s="22"/>
      <c r="T122" s="24" t="str">
        <f t="shared" si="5"/>
        <v>IC IV</v>
      </c>
    </row>
    <row r="123">
      <c r="A123" s="20">
        <f t="shared" si="9"/>
        <v>122</v>
      </c>
      <c r="B123" s="9" t="s">
        <v>189</v>
      </c>
      <c r="C123" s="9" t="s">
        <v>494</v>
      </c>
      <c r="D123" s="21">
        <v>2025.0</v>
      </c>
      <c r="E123" s="21">
        <v>-1.0</v>
      </c>
      <c r="F123" s="9" t="s">
        <v>290</v>
      </c>
      <c r="G123" s="9" t="s">
        <v>71</v>
      </c>
      <c r="H123" s="9" t="s">
        <v>495</v>
      </c>
      <c r="I123" s="22">
        <f t="shared" si="4"/>
        <v>3</v>
      </c>
      <c r="J123" s="23" t="b">
        <v>1</v>
      </c>
      <c r="K123" s="23" t="b">
        <v>0</v>
      </c>
      <c r="L123" s="23" t="b">
        <v>0</v>
      </c>
      <c r="M123" s="23" t="b">
        <v>0</v>
      </c>
      <c r="N123" s="23" t="b">
        <v>0</v>
      </c>
      <c r="O123" s="23" t="b">
        <v>1</v>
      </c>
      <c r="P123" s="9"/>
      <c r="Q123" s="9"/>
      <c r="R123" s="22"/>
      <c r="T123" s="24" t="str">
        <f t="shared" si="5"/>
        <v>IC III</v>
      </c>
    </row>
    <row r="124">
      <c r="A124" s="20">
        <f t="shared" si="9"/>
        <v>123</v>
      </c>
      <c r="B124" s="9" t="s">
        <v>190</v>
      </c>
      <c r="C124" s="9" t="s">
        <v>496</v>
      </c>
      <c r="D124" s="21">
        <v>2025.0</v>
      </c>
      <c r="E124" s="21">
        <v>-1.0</v>
      </c>
      <c r="F124" s="9" t="s">
        <v>290</v>
      </c>
      <c r="G124" s="9" t="s">
        <v>71</v>
      </c>
      <c r="H124" s="9" t="s">
        <v>320</v>
      </c>
      <c r="I124" s="22">
        <f t="shared" si="4"/>
        <v>1</v>
      </c>
      <c r="J124" s="23" t="b">
        <v>1</v>
      </c>
      <c r="K124" s="23" t="b">
        <v>0</v>
      </c>
      <c r="L124" s="23" t="b">
        <v>1</v>
      </c>
      <c r="M124" s="23" t="b">
        <v>0</v>
      </c>
      <c r="N124" s="23" t="b">
        <v>1</v>
      </c>
      <c r="O124" s="23" t="b">
        <v>0</v>
      </c>
      <c r="P124" s="9"/>
      <c r="Q124" s="9"/>
      <c r="R124" s="22"/>
      <c r="T124" s="24" t="str">
        <f t="shared" si="5"/>
        <v>IC III</v>
      </c>
    </row>
    <row r="125">
      <c r="A125" s="20">
        <f t="shared" si="9"/>
        <v>124</v>
      </c>
      <c r="B125" s="9" t="s">
        <v>191</v>
      </c>
      <c r="C125" s="9" t="s">
        <v>497</v>
      </c>
      <c r="D125" s="21">
        <v>2024.0</v>
      </c>
      <c r="E125" s="21">
        <v>4.0</v>
      </c>
      <c r="F125" s="9" t="s">
        <v>295</v>
      </c>
      <c r="G125" s="9" t="s">
        <v>67</v>
      </c>
      <c r="H125" s="9" t="s">
        <v>323</v>
      </c>
      <c r="I125" s="22">
        <f t="shared" si="4"/>
        <v>1</v>
      </c>
      <c r="J125" s="23" t="b">
        <v>1</v>
      </c>
      <c r="K125" s="23" t="b">
        <v>1</v>
      </c>
      <c r="L125" s="23" t="b">
        <v>0</v>
      </c>
      <c r="M125" s="23" t="b">
        <v>1</v>
      </c>
      <c r="N125" s="23" t="b">
        <v>0</v>
      </c>
      <c r="O125" s="23" t="b">
        <v>0</v>
      </c>
      <c r="P125" s="9"/>
      <c r="Q125" s="9"/>
      <c r="R125" s="22"/>
      <c r="T125" s="24" t="str">
        <f t="shared" si="5"/>
        <v>IC IV</v>
      </c>
    </row>
    <row r="126">
      <c r="A126" s="20">
        <f t="shared" si="9"/>
        <v>125</v>
      </c>
      <c r="B126" s="9" t="s">
        <v>192</v>
      </c>
      <c r="C126" s="9" t="s">
        <v>498</v>
      </c>
      <c r="D126" s="21">
        <v>2025.0</v>
      </c>
      <c r="E126" s="21">
        <v>-1.0</v>
      </c>
      <c r="F126" s="9" t="s">
        <v>290</v>
      </c>
      <c r="G126" s="9" t="s">
        <v>71</v>
      </c>
      <c r="H126" s="9" t="s">
        <v>341</v>
      </c>
      <c r="I126" s="22">
        <f t="shared" si="4"/>
        <v>1</v>
      </c>
      <c r="J126" s="23" t="b">
        <v>1</v>
      </c>
      <c r="K126" s="23" t="b">
        <v>0</v>
      </c>
      <c r="L126" s="23" t="b">
        <v>0</v>
      </c>
      <c r="M126" s="23" t="b">
        <v>0</v>
      </c>
      <c r="N126" s="23" t="b">
        <v>1</v>
      </c>
      <c r="O126" s="23" t="b">
        <v>0</v>
      </c>
      <c r="P126" s="9"/>
      <c r="Q126" s="9"/>
      <c r="R126" s="22"/>
      <c r="T126" s="24" t="str">
        <f t="shared" si="5"/>
        <v>IC III</v>
      </c>
    </row>
    <row r="127">
      <c r="A127" s="20">
        <f t="shared" si="9"/>
        <v>126</v>
      </c>
      <c r="B127" s="9" t="s">
        <v>193</v>
      </c>
      <c r="C127" s="9" t="s">
        <v>499</v>
      </c>
      <c r="D127" s="21">
        <v>2023.0</v>
      </c>
      <c r="E127" s="21">
        <v>-1.0</v>
      </c>
      <c r="F127" s="9" t="s">
        <v>290</v>
      </c>
      <c r="G127" s="9" t="s">
        <v>71</v>
      </c>
      <c r="H127" s="9" t="s">
        <v>320</v>
      </c>
      <c r="I127" s="22">
        <f t="shared" si="4"/>
        <v>1</v>
      </c>
      <c r="J127" s="23" t="b">
        <v>1</v>
      </c>
      <c r="K127" s="23" t="b">
        <v>1</v>
      </c>
      <c r="L127" s="23" t="b">
        <v>0</v>
      </c>
      <c r="M127" s="23" t="b">
        <v>1</v>
      </c>
      <c r="N127" s="23" t="b">
        <v>0</v>
      </c>
      <c r="O127" s="23" t="b">
        <v>0</v>
      </c>
      <c r="P127" s="9"/>
      <c r="Q127" s="9"/>
      <c r="R127" s="22"/>
      <c r="T127" s="24" t="str">
        <f t="shared" si="5"/>
        <v>IC IV</v>
      </c>
    </row>
    <row r="128">
      <c r="A128" s="20">
        <f t="shared" si="9"/>
        <v>127</v>
      </c>
      <c r="B128" s="9" t="s">
        <v>194</v>
      </c>
      <c r="C128" s="9" t="s">
        <v>500</v>
      </c>
      <c r="D128" s="21">
        <v>2024.0</v>
      </c>
      <c r="E128" s="21">
        <v>29.0</v>
      </c>
      <c r="F128" s="9" t="s">
        <v>295</v>
      </c>
      <c r="G128" s="9" t="s">
        <v>67</v>
      </c>
      <c r="H128" s="9" t="s">
        <v>296</v>
      </c>
      <c r="I128" s="22">
        <f t="shared" si="4"/>
        <v>1</v>
      </c>
      <c r="J128" s="23" t="b">
        <v>1</v>
      </c>
      <c r="K128" s="23" t="b">
        <v>1</v>
      </c>
      <c r="L128" s="23" t="b">
        <v>0</v>
      </c>
      <c r="M128" s="23" t="b">
        <v>1</v>
      </c>
      <c r="N128" s="23" t="b">
        <v>0</v>
      </c>
      <c r="O128" s="23" t="b">
        <v>0</v>
      </c>
      <c r="P128" s="9"/>
      <c r="Q128" s="9"/>
      <c r="R128" s="22"/>
      <c r="T128" s="24" t="str">
        <f t="shared" si="5"/>
        <v>IC IV</v>
      </c>
    </row>
    <row r="129">
      <c r="A129" s="20">
        <f t="shared" si="9"/>
        <v>128</v>
      </c>
      <c r="B129" s="9" t="s">
        <v>195</v>
      </c>
      <c r="C129" s="9" t="s">
        <v>501</v>
      </c>
      <c r="D129" s="21">
        <v>2024.0</v>
      </c>
      <c r="E129" s="21">
        <v>-1.0</v>
      </c>
      <c r="F129" s="9" t="s">
        <v>290</v>
      </c>
      <c r="G129" s="9" t="s">
        <v>71</v>
      </c>
      <c r="H129" s="9" t="s">
        <v>291</v>
      </c>
      <c r="I129" s="22">
        <f t="shared" si="4"/>
        <v>2</v>
      </c>
      <c r="J129" s="23" t="b">
        <v>1</v>
      </c>
      <c r="K129" s="23" t="b">
        <v>1</v>
      </c>
      <c r="L129" s="23" t="b">
        <v>0</v>
      </c>
      <c r="M129" s="23" t="b">
        <v>1</v>
      </c>
      <c r="N129" s="23" t="b">
        <v>0</v>
      </c>
      <c r="O129" s="23" t="b">
        <v>0</v>
      </c>
      <c r="P129" s="9"/>
      <c r="Q129" s="9"/>
      <c r="R129" s="22"/>
      <c r="T129" s="24" t="str">
        <f t="shared" si="5"/>
        <v>IC IV</v>
      </c>
    </row>
    <row r="130">
      <c r="A130" s="20">
        <f t="shared" si="9"/>
        <v>129</v>
      </c>
      <c r="B130" s="9" t="s">
        <v>196</v>
      </c>
      <c r="C130" s="9" t="s">
        <v>502</v>
      </c>
      <c r="D130" s="21">
        <v>2024.0</v>
      </c>
      <c r="E130" s="21">
        <v>29.0</v>
      </c>
      <c r="F130" s="9" t="s">
        <v>503</v>
      </c>
      <c r="G130" s="9" t="s">
        <v>67</v>
      </c>
      <c r="H130" s="9" t="s">
        <v>341</v>
      </c>
      <c r="I130" s="22">
        <f t="shared" si="4"/>
        <v>1</v>
      </c>
      <c r="J130" s="23" t="b">
        <v>1</v>
      </c>
      <c r="K130" s="23" t="b">
        <v>1</v>
      </c>
      <c r="L130" s="23" t="b">
        <v>0</v>
      </c>
      <c r="M130" s="23" t="b">
        <v>1</v>
      </c>
      <c r="N130" s="23" t="b">
        <v>0</v>
      </c>
      <c r="O130" s="23" t="b">
        <v>0</v>
      </c>
      <c r="P130" s="9"/>
      <c r="Q130" s="9"/>
      <c r="R130" s="22"/>
      <c r="T130" s="24" t="str">
        <f t="shared" si="5"/>
        <v>IC IV</v>
      </c>
    </row>
    <row r="131">
      <c r="A131" s="20">
        <f t="shared" si="9"/>
        <v>130</v>
      </c>
      <c r="B131" s="9" t="s">
        <v>197</v>
      </c>
      <c r="C131" s="9" t="s">
        <v>504</v>
      </c>
      <c r="D131" s="21">
        <v>2024.0</v>
      </c>
      <c r="E131" s="21">
        <v>32.0</v>
      </c>
      <c r="F131" s="9" t="s">
        <v>505</v>
      </c>
      <c r="G131" s="9" t="s">
        <v>67</v>
      </c>
      <c r="H131" s="9" t="s">
        <v>341</v>
      </c>
      <c r="I131" s="22">
        <f t="shared" si="4"/>
        <v>1</v>
      </c>
      <c r="J131" s="23" t="b">
        <v>1</v>
      </c>
      <c r="K131" s="23" t="b">
        <v>1</v>
      </c>
      <c r="L131" s="23" t="b">
        <v>0</v>
      </c>
      <c r="M131" s="23" t="b">
        <v>1</v>
      </c>
      <c r="N131" s="23" t="b">
        <v>0</v>
      </c>
      <c r="O131" s="23" t="b">
        <v>0</v>
      </c>
      <c r="P131" s="9"/>
      <c r="Q131" s="9"/>
      <c r="R131" s="22"/>
      <c r="T131" s="24" t="str">
        <f t="shared" si="5"/>
        <v>IC IV</v>
      </c>
    </row>
    <row r="132">
      <c r="A132" s="20">
        <f t="shared" si="9"/>
        <v>131</v>
      </c>
      <c r="B132" s="9" t="s">
        <v>198</v>
      </c>
      <c r="C132" s="9" t="s">
        <v>506</v>
      </c>
      <c r="D132" s="21">
        <v>2023.0</v>
      </c>
      <c r="E132" s="21">
        <v>18.0</v>
      </c>
      <c r="F132" s="9" t="s">
        <v>295</v>
      </c>
      <c r="G132" s="9" t="s">
        <v>67</v>
      </c>
      <c r="H132" s="9" t="s">
        <v>296</v>
      </c>
      <c r="I132" s="22">
        <f t="shared" si="4"/>
        <v>1</v>
      </c>
      <c r="J132" s="23" t="b">
        <v>1</v>
      </c>
      <c r="K132" s="23" t="b">
        <v>1</v>
      </c>
      <c r="L132" s="23" t="b">
        <v>0</v>
      </c>
      <c r="M132" s="23" t="b">
        <v>1</v>
      </c>
      <c r="N132" s="23" t="b">
        <v>0</v>
      </c>
      <c r="O132" s="23" t="b">
        <v>0</v>
      </c>
      <c r="P132" s="9"/>
      <c r="Q132" s="9"/>
      <c r="R132" s="22"/>
      <c r="T132" s="24" t="str">
        <f t="shared" si="5"/>
        <v>IC IV</v>
      </c>
    </row>
    <row r="133">
      <c r="A133" s="20">
        <f t="shared" si="9"/>
        <v>132</v>
      </c>
      <c r="B133" s="9" t="s">
        <v>199</v>
      </c>
      <c r="C133" s="9" t="s">
        <v>507</v>
      </c>
      <c r="D133" s="21">
        <v>2024.0</v>
      </c>
      <c r="E133" s="21">
        <v>-1.0</v>
      </c>
      <c r="F133" s="9" t="s">
        <v>290</v>
      </c>
      <c r="G133" s="9" t="s">
        <v>71</v>
      </c>
      <c r="H133" s="9" t="s">
        <v>343</v>
      </c>
      <c r="I133" s="22">
        <f t="shared" si="4"/>
        <v>4</v>
      </c>
      <c r="J133" s="23" t="b">
        <v>1</v>
      </c>
      <c r="K133" s="23" t="b">
        <v>1</v>
      </c>
      <c r="L133" s="23" t="b">
        <v>0</v>
      </c>
      <c r="M133" s="23" t="b">
        <v>1</v>
      </c>
      <c r="N133" s="23" t="b">
        <v>0</v>
      </c>
      <c r="O133" s="23" t="b">
        <v>0</v>
      </c>
      <c r="P133" s="9"/>
      <c r="Q133" s="9"/>
      <c r="R133" s="22"/>
      <c r="T133" s="24" t="str">
        <f t="shared" si="5"/>
        <v>IC IV</v>
      </c>
    </row>
    <row r="134">
      <c r="A134" s="20">
        <f t="shared" si="9"/>
        <v>133</v>
      </c>
      <c r="B134" s="9" t="s">
        <v>200</v>
      </c>
      <c r="C134" s="9" t="s">
        <v>508</v>
      </c>
      <c r="D134" s="21">
        <v>2024.0</v>
      </c>
      <c r="E134" s="21">
        <v>-1.0</v>
      </c>
      <c r="F134" s="9" t="s">
        <v>290</v>
      </c>
      <c r="G134" s="9" t="s">
        <v>71</v>
      </c>
      <c r="H134" s="9" t="s">
        <v>320</v>
      </c>
      <c r="I134" s="22">
        <f t="shared" si="4"/>
        <v>1</v>
      </c>
      <c r="J134" s="23" t="b">
        <v>1</v>
      </c>
      <c r="K134" s="23" t="b">
        <v>0</v>
      </c>
      <c r="L134" s="23" t="b">
        <v>0</v>
      </c>
      <c r="M134" s="23" t="b">
        <v>0</v>
      </c>
      <c r="N134" s="23" t="b">
        <v>1</v>
      </c>
      <c r="O134" s="23" t="b">
        <v>0</v>
      </c>
      <c r="P134" s="9"/>
      <c r="Q134" s="9"/>
      <c r="R134" s="22"/>
      <c r="T134" s="24" t="str">
        <f t="shared" si="5"/>
        <v>IC III</v>
      </c>
    </row>
    <row r="135">
      <c r="A135" s="20">
        <f t="shared" si="9"/>
        <v>134</v>
      </c>
      <c r="B135" s="26" t="s">
        <v>84</v>
      </c>
      <c r="C135" s="9" t="s">
        <v>509</v>
      </c>
      <c r="D135" s="21">
        <v>2025.0</v>
      </c>
      <c r="E135" s="21">
        <v>-1.0</v>
      </c>
      <c r="F135" s="9" t="s">
        <v>290</v>
      </c>
      <c r="G135" s="9" t="s">
        <v>71</v>
      </c>
      <c r="H135" s="9" t="s">
        <v>320</v>
      </c>
      <c r="I135" s="22">
        <f t="shared" si="4"/>
        <v>1</v>
      </c>
      <c r="J135" s="23" t="b">
        <v>1</v>
      </c>
      <c r="K135" s="23" t="b">
        <v>1</v>
      </c>
      <c r="L135" s="23" t="b">
        <v>1</v>
      </c>
      <c r="M135" s="23" t="b">
        <v>0</v>
      </c>
      <c r="N135" s="23" t="b">
        <v>0</v>
      </c>
      <c r="O135" s="23" t="b">
        <v>0</v>
      </c>
      <c r="P135" s="23" t="b">
        <v>1</v>
      </c>
      <c r="Q135" s="23" t="b">
        <v>0</v>
      </c>
      <c r="R135" s="22"/>
      <c r="T135" s="24" t="str">
        <f t="shared" si="5"/>
        <v>OK</v>
      </c>
    </row>
    <row r="136">
      <c r="A136" s="20">
        <f t="shared" si="9"/>
        <v>135</v>
      </c>
      <c r="B136" s="9" t="s">
        <v>202</v>
      </c>
      <c r="C136" s="9" t="s">
        <v>510</v>
      </c>
      <c r="D136" s="21">
        <v>2025.0</v>
      </c>
      <c r="E136" s="21">
        <v>2.0</v>
      </c>
      <c r="F136" s="9" t="s">
        <v>295</v>
      </c>
      <c r="G136" s="9" t="s">
        <v>67</v>
      </c>
      <c r="H136" s="9" t="s">
        <v>296</v>
      </c>
      <c r="I136" s="22">
        <f t="shared" si="4"/>
        <v>1</v>
      </c>
      <c r="J136" s="23" t="b">
        <v>1</v>
      </c>
      <c r="K136" s="23" t="b">
        <v>1</v>
      </c>
      <c r="L136" s="23" t="b">
        <v>0</v>
      </c>
      <c r="M136" s="23" t="b">
        <v>1</v>
      </c>
      <c r="N136" s="23" t="b">
        <v>0</v>
      </c>
      <c r="O136" s="23" t="b">
        <v>0</v>
      </c>
      <c r="P136" s="9"/>
      <c r="Q136" s="9"/>
      <c r="R136" s="22"/>
      <c r="T136" s="24" t="str">
        <f t="shared" si="5"/>
        <v>IC IV</v>
      </c>
    </row>
    <row r="137">
      <c r="A137" s="20">
        <f t="shared" si="9"/>
        <v>136</v>
      </c>
      <c r="B137" s="9" t="s">
        <v>203</v>
      </c>
      <c r="C137" s="9" t="s">
        <v>511</v>
      </c>
      <c r="D137" s="21">
        <v>2024.0</v>
      </c>
      <c r="E137" s="21">
        <v>4.0</v>
      </c>
      <c r="F137" s="9" t="s">
        <v>512</v>
      </c>
      <c r="G137" s="9" t="s">
        <v>67</v>
      </c>
      <c r="H137" s="9" t="s">
        <v>329</v>
      </c>
      <c r="I137" s="22">
        <f t="shared" si="4"/>
        <v>1</v>
      </c>
      <c r="J137" s="23" t="b">
        <v>1</v>
      </c>
      <c r="K137" s="23" t="b">
        <v>0</v>
      </c>
      <c r="L137" s="23" t="b">
        <v>0</v>
      </c>
      <c r="M137" s="23" t="b">
        <v>0</v>
      </c>
      <c r="N137" s="23" t="b">
        <v>1</v>
      </c>
      <c r="O137" s="23" t="b">
        <v>1</v>
      </c>
      <c r="P137" s="9"/>
      <c r="Q137" s="9"/>
      <c r="R137" s="22"/>
      <c r="T137" s="24" t="str">
        <f t="shared" si="5"/>
        <v>IC III</v>
      </c>
    </row>
    <row r="138">
      <c r="A138" s="20">
        <f t="shared" si="9"/>
        <v>137</v>
      </c>
      <c r="B138" s="9" t="s">
        <v>204</v>
      </c>
      <c r="C138" s="9" t="s">
        <v>513</v>
      </c>
      <c r="D138" s="21">
        <v>2023.0</v>
      </c>
      <c r="E138" s="21">
        <v>22.0</v>
      </c>
      <c r="F138" s="9" t="s">
        <v>514</v>
      </c>
      <c r="G138" s="9" t="s">
        <v>67</v>
      </c>
      <c r="H138" s="9" t="s">
        <v>362</v>
      </c>
      <c r="I138" s="22">
        <f t="shared" si="4"/>
        <v>1</v>
      </c>
      <c r="J138" s="23" t="b">
        <v>1</v>
      </c>
      <c r="K138" s="23" t="b">
        <v>1</v>
      </c>
      <c r="L138" s="23" t="b">
        <v>0</v>
      </c>
      <c r="M138" s="23" t="b">
        <v>1</v>
      </c>
      <c r="N138" s="23" t="b">
        <v>0</v>
      </c>
      <c r="O138" s="23" t="b">
        <v>0</v>
      </c>
      <c r="P138" s="9"/>
      <c r="Q138" s="9"/>
      <c r="R138" s="22"/>
      <c r="T138" s="24" t="str">
        <f t="shared" si="5"/>
        <v>IC IV</v>
      </c>
    </row>
    <row r="139">
      <c r="A139" s="20">
        <f t="shared" si="9"/>
        <v>138</v>
      </c>
      <c r="B139" s="9" t="s">
        <v>205</v>
      </c>
      <c r="C139" s="9" t="s">
        <v>515</v>
      </c>
      <c r="D139" s="21">
        <v>2023.0</v>
      </c>
      <c r="E139" s="21">
        <v>-1.0</v>
      </c>
      <c r="F139" s="9" t="s">
        <v>290</v>
      </c>
      <c r="G139" s="9" t="s">
        <v>71</v>
      </c>
      <c r="H139" s="9" t="s">
        <v>329</v>
      </c>
      <c r="I139" s="22">
        <f t="shared" si="4"/>
        <v>1</v>
      </c>
      <c r="J139" s="23" t="b">
        <v>1</v>
      </c>
      <c r="K139" s="23" t="b">
        <v>0</v>
      </c>
      <c r="L139" s="23" t="b">
        <v>0</v>
      </c>
      <c r="M139" s="23" t="b">
        <v>0</v>
      </c>
      <c r="N139" s="23" t="b">
        <v>1</v>
      </c>
      <c r="O139" s="23" t="b">
        <v>1</v>
      </c>
      <c r="P139" s="9"/>
      <c r="Q139" s="9"/>
      <c r="R139" s="22"/>
      <c r="T139" s="24" t="str">
        <f t="shared" si="5"/>
        <v>IC III</v>
      </c>
    </row>
    <row r="140">
      <c r="A140" s="20">
        <f t="shared" si="9"/>
        <v>139</v>
      </c>
      <c r="B140" s="9" t="s">
        <v>206</v>
      </c>
      <c r="C140" s="9" t="s">
        <v>516</v>
      </c>
      <c r="D140" s="21">
        <v>2023.0</v>
      </c>
      <c r="E140" s="21">
        <v>13.0</v>
      </c>
      <c r="F140" s="26" t="s">
        <v>517</v>
      </c>
      <c r="G140" s="9" t="s">
        <v>67</v>
      </c>
      <c r="H140" s="9" t="s">
        <v>320</v>
      </c>
      <c r="I140" s="22">
        <f t="shared" si="4"/>
        <v>1</v>
      </c>
      <c r="J140" s="23" t="b">
        <v>1</v>
      </c>
      <c r="K140" s="23" t="b">
        <v>1</v>
      </c>
      <c r="L140" s="23" t="b">
        <v>1</v>
      </c>
      <c r="M140" s="23" t="b">
        <v>0</v>
      </c>
      <c r="N140" s="23" t="b">
        <v>0</v>
      </c>
      <c r="O140" s="23" t="b">
        <v>0</v>
      </c>
      <c r="P140" s="23" t="b">
        <v>1</v>
      </c>
      <c r="Q140" s="23" t="b">
        <v>0</v>
      </c>
      <c r="R140" s="22"/>
      <c r="T140" s="24" t="str">
        <f t="shared" si="5"/>
        <v>OK</v>
      </c>
    </row>
    <row r="141">
      <c r="A141" s="20">
        <f t="shared" si="9"/>
        <v>140</v>
      </c>
      <c r="B141" s="26" t="s">
        <v>216</v>
      </c>
      <c r="C141" s="9" t="s">
        <v>518</v>
      </c>
      <c r="D141" s="21">
        <v>2026.0</v>
      </c>
      <c r="E141" s="21">
        <v>-1.0</v>
      </c>
      <c r="F141" s="9" t="s">
        <v>290</v>
      </c>
      <c r="G141" s="9" t="s">
        <v>71</v>
      </c>
      <c r="H141" s="9" t="s">
        <v>327</v>
      </c>
      <c r="I141" s="22">
        <f t="shared" si="4"/>
        <v>2</v>
      </c>
      <c r="J141" s="23" t="b">
        <v>1</v>
      </c>
      <c r="K141" s="23" t="b">
        <v>1</v>
      </c>
      <c r="L141" s="23" t="b">
        <v>1</v>
      </c>
      <c r="M141" s="23" t="b">
        <v>0</v>
      </c>
      <c r="N141" s="23" t="b">
        <v>0</v>
      </c>
      <c r="O141" s="23" t="b">
        <v>0</v>
      </c>
      <c r="P141" s="23" t="b">
        <v>1</v>
      </c>
      <c r="Q141" s="23" t="b">
        <v>0</v>
      </c>
      <c r="R141" s="22"/>
      <c r="T141" s="24" t="str">
        <f t="shared" si="5"/>
        <v>OK</v>
      </c>
    </row>
    <row r="142">
      <c r="A142" s="20">
        <f t="shared" si="9"/>
        <v>141</v>
      </c>
      <c r="B142" s="9" t="s">
        <v>208</v>
      </c>
      <c r="C142" s="9" t="s">
        <v>519</v>
      </c>
      <c r="D142" s="21">
        <v>2023.0</v>
      </c>
      <c r="E142" s="21">
        <v>7.0</v>
      </c>
      <c r="F142" s="26" t="s">
        <v>520</v>
      </c>
      <c r="G142" s="9" t="s">
        <v>67</v>
      </c>
      <c r="H142" s="9" t="s">
        <v>362</v>
      </c>
      <c r="I142" s="22">
        <f t="shared" si="4"/>
        <v>1</v>
      </c>
      <c r="J142" s="23" t="b">
        <v>1</v>
      </c>
      <c r="K142" s="23" t="b">
        <v>1</v>
      </c>
      <c r="L142" s="23" t="b">
        <v>1</v>
      </c>
      <c r="M142" s="23" t="b">
        <v>0</v>
      </c>
      <c r="N142" s="23" t="b">
        <v>0</v>
      </c>
      <c r="O142" s="23" t="b">
        <v>0</v>
      </c>
      <c r="P142" s="23" t="b">
        <v>1</v>
      </c>
      <c r="Q142" s="23" t="b">
        <v>0</v>
      </c>
      <c r="R142" s="22"/>
      <c r="T142" s="24" t="str">
        <f t="shared" si="5"/>
        <v>OK</v>
      </c>
    </row>
    <row r="143">
      <c r="A143" s="20">
        <f t="shared" si="9"/>
        <v>142</v>
      </c>
      <c r="B143" s="9" t="s">
        <v>209</v>
      </c>
      <c r="C143" s="9" t="s">
        <v>521</v>
      </c>
      <c r="D143" s="21">
        <v>2025.0</v>
      </c>
      <c r="E143" s="21">
        <v>3.0</v>
      </c>
      <c r="F143" s="26" t="s">
        <v>522</v>
      </c>
      <c r="G143" s="9" t="s">
        <v>67</v>
      </c>
      <c r="H143" s="9" t="s">
        <v>296</v>
      </c>
      <c r="I143" s="22">
        <f t="shared" si="4"/>
        <v>1</v>
      </c>
      <c r="J143" s="23" t="b">
        <v>1</v>
      </c>
      <c r="K143" s="23" t="b">
        <v>1</v>
      </c>
      <c r="L143" s="23" t="b">
        <v>1</v>
      </c>
      <c r="M143" s="23" t="b">
        <v>0</v>
      </c>
      <c r="N143" s="23" t="b">
        <v>0</v>
      </c>
      <c r="O143" s="23" t="b">
        <v>0</v>
      </c>
      <c r="P143" s="23" t="b">
        <v>1</v>
      </c>
      <c r="Q143" s="23" t="b">
        <v>0</v>
      </c>
      <c r="R143" s="22"/>
      <c r="T143" s="24" t="str">
        <f t="shared" si="5"/>
        <v>OK</v>
      </c>
    </row>
    <row r="144">
      <c r="A144" s="20">
        <f t="shared" si="9"/>
        <v>143</v>
      </c>
      <c r="B144" s="9" t="s">
        <v>210</v>
      </c>
      <c r="C144" s="9" t="s">
        <v>523</v>
      </c>
      <c r="D144" s="21">
        <v>2023.0</v>
      </c>
      <c r="E144" s="21">
        <v>32.0</v>
      </c>
      <c r="F144" s="9" t="s">
        <v>524</v>
      </c>
      <c r="G144" s="9" t="s">
        <v>67</v>
      </c>
      <c r="H144" s="9" t="s">
        <v>296</v>
      </c>
      <c r="I144" s="22">
        <f t="shared" si="4"/>
        <v>1</v>
      </c>
      <c r="J144" s="23" t="b">
        <v>1</v>
      </c>
      <c r="K144" s="23" t="b">
        <v>0</v>
      </c>
      <c r="L144" s="23" t="b">
        <v>0</v>
      </c>
      <c r="M144" s="23" t="b">
        <v>1</v>
      </c>
      <c r="N144" s="23" t="b">
        <v>0</v>
      </c>
      <c r="O144" s="23" t="b">
        <v>0</v>
      </c>
      <c r="P144" s="9"/>
      <c r="Q144" s="9"/>
      <c r="R144" s="22"/>
      <c r="T144" s="24" t="str">
        <f t="shared" si="5"/>
        <v>IC III</v>
      </c>
    </row>
    <row r="145">
      <c r="A145" s="20">
        <f t="shared" si="9"/>
        <v>144</v>
      </c>
      <c r="B145" s="9" t="s">
        <v>211</v>
      </c>
      <c r="C145" s="9" t="s">
        <v>525</v>
      </c>
      <c r="D145" s="21">
        <v>2024.0</v>
      </c>
      <c r="E145" s="21">
        <v>-1.0</v>
      </c>
      <c r="F145" s="9" t="s">
        <v>290</v>
      </c>
      <c r="G145" s="9" t="s">
        <v>71</v>
      </c>
      <c r="H145" s="9" t="s">
        <v>526</v>
      </c>
      <c r="I145" s="22">
        <f t="shared" si="4"/>
        <v>3</v>
      </c>
      <c r="J145" s="23" t="b">
        <v>1</v>
      </c>
      <c r="K145" s="23" t="b">
        <v>1</v>
      </c>
      <c r="L145" s="23" t="b">
        <v>0</v>
      </c>
      <c r="M145" s="23" t="b">
        <v>1</v>
      </c>
      <c r="N145" s="23" t="b">
        <v>0</v>
      </c>
      <c r="O145" s="23" t="b">
        <v>0</v>
      </c>
      <c r="P145" s="9"/>
      <c r="Q145" s="9"/>
      <c r="R145" s="22"/>
      <c r="T145" s="24" t="str">
        <f t="shared" si="5"/>
        <v>IC IV</v>
      </c>
    </row>
    <row r="146">
      <c r="A146" s="20">
        <f t="shared" si="9"/>
        <v>145</v>
      </c>
      <c r="B146" s="9" t="s">
        <v>212</v>
      </c>
      <c r="C146" s="9" t="s">
        <v>527</v>
      </c>
      <c r="D146" s="21">
        <v>2024.0</v>
      </c>
      <c r="E146" s="21">
        <v>10.0</v>
      </c>
      <c r="F146" s="9" t="s">
        <v>295</v>
      </c>
      <c r="G146" s="9" t="s">
        <v>67</v>
      </c>
      <c r="H146" s="9" t="s">
        <v>323</v>
      </c>
      <c r="I146" s="22">
        <f t="shared" si="4"/>
        <v>1</v>
      </c>
      <c r="J146" s="23" t="b">
        <v>1</v>
      </c>
      <c r="K146" s="23" t="b">
        <v>1</v>
      </c>
      <c r="L146" s="23" t="b">
        <v>0</v>
      </c>
      <c r="M146" s="23" t="b">
        <v>1</v>
      </c>
      <c r="N146" s="23" t="b">
        <v>0</v>
      </c>
      <c r="O146" s="23" t="b">
        <v>0</v>
      </c>
      <c r="P146" s="9"/>
      <c r="Q146" s="9"/>
      <c r="R146" s="22"/>
      <c r="T146" s="24" t="str">
        <f t="shared" si="5"/>
        <v>IC IV</v>
      </c>
    </row>
    <row r="147">
      <c r="A147" s="20">
        <f t="shared" si="9"/>
        <v>146</v>
      </c>
      <c r="B147" s="9" t="s">
        <v>528</v>
      </c>
      <c r="C147" s="9" t="s">
        <v>529</v>
      </c>
      <c r="D147" s="21">
        <v>2023.0</v>
      </c>
      <c r="E147" s="21">
        <v>1.0</v>
      </c>
      <c r="F147" s="9" t="s">
        <v>295</v>
      </c>
      <c r="G147" s="9" t="s">
        <v>67</v>
      </c>
      <c r="H147" s="9" t="s">
        <v>530</v>
      </c>
      <c r="I147" s="22">
        <f t="shared" si="4"/>
        <v>2</v>
      </c>
      <c r="J147" s="23" t="b">
        <v>1</v>
      </c>
      <c r="K147" s="23" t="b">
        <v>1</v>
      </c>
      <c r="L147" s="23" t="b">
        <v>1</v>
      </c>
      <c r="M147" s="23" t="b">
        <v>0</v>
      </c>
      <c r="N147" s="23" t="b">
        <v>0</v>
      </c>
      <c r="O147" s="23" t="b">
        <v>0</v>
      </c>
      <c r="P147" s="23" t="b">
        <v>1</v>
      </c>
      <c r="Q147" s="23" t="b">
        <v>0</v>
      </c>
      <c r="R147" s="22"/>
      <c r="S147" s="3" t="s">
        <v>531</v>
      </c>
      <c r="T147" s="24" t="str">
        <f t="shared" si="5"/>
        <v>SA</v>
      </c>
    </row>
    <row r="148">
      <c r="A148" s="20">
        <f t="shared" si="9"/>
        <v>147</v>
      </c>
      <c r="B148" s="9" t="s">
        <v>214</v>
      </c>
      <c r="C148" s="9" t="s">
        <v>532</v>
      </c>
      <c r="D148" s="21">
        <v>2023.0</v>
      </c>
      <c r="E148" s="21">
        <v>23.0</v>
      </c>
      <c r="F148" s="9" t="s">
        <v>533</v>
      </c>
      <c r="G148" s="9" t="s">
        <v>67</v>
      </c>
      <c r="H148" s="9" t="s">
        <v>296</v>
      </c>
      <c r="I148" s="22">
        <f t="shared" si="4"/>
        <v>1</v>
      </c>
      <c r="J148" s="23" t="b">
        <v>1</v>
      </c>
      <c r="K148" s="23" t="b">
        <v>1</v>
      </c>
      <c r="L148" s="23" t="b">
        <v>0</v>
      </c>
      <c r="M148" s="23" t="b">
        <v>1</v>
      </c>
      <c r="N148" s="23" t="b">
        <v>0</v>
      </c>
      <c r="O148" s="23" t="b">
        <v>0</v>
      </c>
      <c r="P148" s="9"/>
      <c r="Q148" s="9"/>
      <c r="R148" s="22"/>
      <c r="T148" s="24" t="str">
        <f t="shared" si="5"/>
        <v>IC IV</v>
      </c>
    </row>
    <row r="149">
      <c r="A149" s="20">
        <f t="shared" si="9"/>
        <v>148</v>
      </c>
      <c r="B149" s="9" t="s">
        <v>215</v>
      </c>
      <c r="C149" s="9" t="s">
        <v>534</v>
      </c>
      <c r="D149" s="21">
        <v>2024.0</v>
      </c>
      <c r="E149" s="21">
        <v>-1.0</v>
      </c>
      <c r="F149" s="9" t="s">
        <v>290</v>
      </c>
      <c r="G149" s="9" t="s">
        <v>71</v>
      </c>
      <c r="H149" s="9" t="s">
        <v>296</v>
      </c>
      <c r="I149" s="22">
        <f t="shared" si="4"/>
        <v>1</v>
      </c>
      <c r="J149" s="23" t="b">
        <v>1</v>
      </c>
      <c r="K149" s="23" t="b">
        <v>1</v>
      </c>
      <c r="L149" s="23" t="b">
        <v>0</v>
      </c>
      <c r="M149" s="23" t="b">
        <v>1</v>
      </c>
      <c r="N149" s="23" t="b">
        <v>0</v>
      </c>
      <c r="O149" s="23" t="b">
        <v>0</v>
      </c>
      <c r="P149" s="9"/>
      <c r="Q149" s="9"/>
      <c r="R149" s="22"/>
      <c r="T149" s="24" t="str">
        <f t="shared" si="5"/>
        <v>IC IV</v>
      </c>
    </row>
    <row r="150">
      <c r="A150" s="20">
        <f t="shared" si="9"/>
        <v>149</v>
      </c>
      <c r="B150" s="9" t="s">
        <v>230</v>
      </c>
      <c r="C150" s="9" t="s">
        <v>535</v>
      </c>
      <c r="D150" s="21">
        <v>2023.0</v>
      </c>
      <c r="E150" s="21">
        <v>25.0</v>
      </c>
      <c r="F150" s="9" t="s">
        <v>295</v>
      </c>
      <c r="G150" s="9" t="s">
        <v>67</v>
      </c>
      <c r="H150" s="9" t="s">
        <v>341</v>
      </c>
      <c r="I150" s="22">
        <f t="shared" si="4"/>
        <v>1</v>
      </c>
      <c r="J150" s="23" t="b">
        <v>1</v>
      </c>
      <c r="K150" s="23" t="b">
        <v>1</v>
      </c>
      <c r="L150" s="23" t="b">
        <v>1</v>
      </c>
      <c r="M150" s="23" t="b">
        <v>0</v>
      </c>
      <c r="N150" s="23" t="b">
        <v>0</v>
      </c>
      <c r="O150" s="23" t="b">
        <v>0</v>
      </c>
      <c r="P150" s="23" t="b">
        <v>1</v>
      </c>
      <c r="Q150" s="23" t="b">
        <v>0</v>
      </c>
      <c r="R150" s="22"/>
      <c r="T150" s="24" t="str">
        <f t="shared" si="5"/>
        <v>OK</v>
      </c>
    </row>
    <row r="151">
      <c r="A151" s="20">
        <f t="shared" si="9"/>
        <v>150</v>
      </c>
      <c r="B151" s="9" t="s">
        <v>217</v>
      </c>
      <c r="C151" s="9" t="s">
        <v>536</v>
      </c>
      <c r="D151" s="21">
        <v>2024.0</v>
      </c>
      <c r="E151" s="21">
        <v>4.0</v>
      </c>
      <c r="F151" s="9" t="s">
        <v>537</v>
      </c>
      <c r="G151" s="9" t="s">
        <v>67</v>
      </c>
      <c r="H151" s="9" t="s">
        <v>323</v>
      </c>
      <c r="I151" s="22">
        <f t="shared" si="4"/>
        <v>1</v>
      </c>
      <c r="J151" s="23" t="b">
        <v>1</v>
      </c>
      <c r="K151" s="23" t="b">
        <v>1</v>
      </c>
      <c r="L151" s="23" t="b">
        <v>0</v>
      </c>
      <c r="M151" s="23" t="b">
        <v>1</v>
      </c>
      <c r="N151" s="23" t="b">
        <v>0</v>
      </c>
      <c r="O151" s="23" t="b">
        <v>0</v>
      </c>
      <c r="P151" s="9"/>
      <c r="Q151" s="9"/>
      <c r="R151" s="22"/>
      <c r="T151" s="24" t="str">
        <f t="shared" si="5"/>
        <v>IC IV</v>
      </c>
    </row>
    <row r="152">
      <c r="A152" s="20">
        <f t="shared" si="9"/>
        <v>151</v>
      </c>
      <c r="B152" s="9" t="s">
        <v>218</v>
      </c>
      <c r="C152" s="9" t="s">
        <v>538</v>
      </c>
      <c r="D152" s="21">
        <v>2023.0</v>
      </c>
      <c r="E152" s="21">
        <v>11.0</v>
      </c>
      <c r="F152" s="9" t="s">
        <v>539</v>
      </c>
      <c r="G152" s="9" t="s">
        <v>67</v>
      </c>
      <c r="H152" s="9" t="s">
        <v>313</v>
      </c>
      <c r="I152" s="22">
        <f t="shared" si="4"/>
        <v>1</v>
      </c>
      <c r="J152" s="23" t="b">
        <v>1</v>
      </c>
      <c r="K152" s="23" t="b">
        <v>1</v>
      </c>
      <c r="L152" s="23" t="b">
        <v>0</v>
      </c>
      <c r="M152" s="23" t="b">
        <v>1</v>
      </c>
      <c r="N152" s="23" t="b">
        <v>0</v>
      </c>
      <c r="O152" s="23" t="b">
        <v>0</v>
      </c>
      <c r="P152" s="9"/>
      <c r="Q152" s="9"/>
      <c r="R152" s="22"/>
      <c r="T152" s="24" t="str">
        <f t="shared" si="5"/>
        <v>IC IV</v>
      </c>
    </row>
    <row r="153">
      <c r="A153" s="20">
        <f t="shared" si="9"/>
        <v>152</v>
      </c>
      <c r="B153" s="9" t="s">
        <v>219</v>
      </c>
      <c r="C153" s="9" t="s">
        <v>540</v>
      </c>
      <c r="D153" s="21">
        <v>2025.0</v>
      </c>
      <c r="E153" s="21">
        <v>-1.0</v>
      </c>
      <c r="F153" s="9" t="s">
        <v>290</v>
      </c>
      <c r="G153" s="9" t="s">
        <v>71</v>
      </c>
      <c r="H153" s="9" t="s">
        <v>354</v>
      </c>
      <c r="I153" s="22">
        <f t="shared" si="4"/>
        <v>3</v>
      </c>
      <c r="J153" s="23" t="b">
        <v>1</v>
      </c>
      <c r="K153" s="23" t="b">
        <v>1</v>
      </c>
      <c r="L153" s="23" t="b">
        <v>0</v>
      </c>
      <c r="M153" s="23" t="b">
        <v>1</v>
      </c>
      <c r="N153" s="23" t="b">
        <v>0</v>
      </c>
      <c r="O153" s="23" t="b">
        <v>0</v>
      </c>
      <c r="P153" s="9"/>
      <c r="Q153" s="9"/>
      <c r="R153" s="22"/>
      <c r="T153" s="24" t="str">
        <f t="shared" si="5"/>
        <v>IC IV</v>
      </c>
    </row>
    <row r="154">
      <c r="A154" s="20">
        <f t="shared" si="9"/>
        <v>153</v>
      </c>
      <c r="B154" s="9" t="s">
        <v>220</v>
      </c>
      <c r="C154" s="9" t="s">
        <v>541</v>
      </c>
      <c r="D154" s="21">
        <v>2025.0</v>
      </c>
      <c r="E154" s="21">
        <v>32.0</v>
      </c>
      <c r="F154" s="26" t="s">
        <v>542</v>
      </c>
      <c r="G154" s="9" t="s">
        <v>67</v>
      </c>
      <c r="H154" s="9" t="s">
        <v>341</v>
      </c>
      <c r="I154" s="22">
        <f t="shared" si="4"/>
        <v>1</v>
      </c>
      <c r="J154" s="23" t="b">
        <v>1</v>
      </c>
      <c r="K154" s="23" t="b">
        <v>1</v>
      </c>
      <c r="L154" s="23" t="b">
        <v>1</v>
      </c>
      <c r="M154" s="23" t="b">
        <v>0</v>
      </c>
      <c r="N154" s="23" t="b">
        <v>0</v>
      </c>
      <c r="O154" s="23" t="b">
        <v>0</v>
      </c>
      <c r="P154" s="23" t="b">
        <v>1</v>
      </c>
      <c r="Q154" s="23" t="b">
        <v>0</v>
      </c>
      <c r="R154" s="22"/>
      <c r="T154" s="24" t="str">
        <f t="shared" si="5"/>
        <v>OK</v>
      </c>
    </row>
    <row r="155">
      <c r="A155" s="20">
        <f t="shared" si="9"/>
        <v>154</v>
      </c>
      <c r="B155" s="9" t="s">
        <v>221</v>
      </c>
      <c r="C155" s="9" t="s">
        <v>543</v>
      </c>
      <c r="D155" s="21">
        <v>2025.0</v>
      </c>
      <c r="E155" s="21">
        <v>-1.0</v>
      </c>
      <c r="F155" s="9" t="s">
        <v>290</v>
      </c>
      <c r="G155" s="9" t="s">
        <v>71</v>
      </c>
      <c r="H155" s="9" t="s">
        <v>341</v>
      </c>
      <c r="I155" s="22">
        <f t="shared" si="4"/>
        <v>1</v>
      </c>
      <c r="J155" s="23" t="b">
        <v>1</v>
      </c>
      <c r="K155" s="23" t="b">
        <v>1</v>
      </c>
      <c r="L155" s="23" t="b">
        <v>0</v>
      </c>
      <c r="M155" s="23" t="b">
        <v>0</v>
      </c>
      <c r="N155" s="23" t="b">
        <v>1</v>
      </c>
      <c r="O155" s="23" t="b">
        <v>0</v>
      </c>
      <c r="P155" s="9"/>
      <c r="Q155" s="9"/>
      <c r="R155" s="22"/>
      <c r="T155" s="24" t="str">
        <f t="shared" si="5"/>
        <v>IC IV</v>
      </c>
    </row>
    <row r="156">
      <c r="A156" s="20">
        <f t="shared" si="9"/>
        <v>155</v>
      </c>
      <c r="B156" s="9" t="s">
        <v>222</v>
      </c>
      <c r="C156" s="9" t="s">
        <v>544</v>
      </c>
      <c r="D156" s="21">
        <v>2025.0</v>
      </c>
      <c r="E156" s="21">
        <v>-1.0</v>
      </c>
      <c r="F156" s="9" t="s">
        <v>290</v>
      </c>
      <c r="G156" s="9" t="s">
        <v>71</v>
      </c>
      <c r="H156" s="9" t="s">
        <v>327</v>
      </c>
      <c r="I156" s="22">
        <f t="shared" si="4"/>
        <v>2</v>
      </c>
      <c r="J156" s="23" t="b">
        <v>1</v>
      </c>
      <c r="K156" s="23" t="b">
        <v>0</v>
      </c>
      <c r="L156" s="23" t="b">
        <v>0</v>
      </c>
      <c r="M156" s="23" t="b">
        <v>1</v>
      </c>
      <c r="N156" s="23" t="b">
        <v>1</v>
      </c>
      <c r="O156" s="23" t="b">
        <v>0</v>
      </c>
      <c r="P156" s="9"/>
      <c r="Q156" s="9"/>
      <c r="R156" s="22"/>
      <c r="T156" s="24" t="str">
        <f t="shared" si="5"/>
        <v>IC III</v>
      </c>
    </row>
    <row r="157">
      <c r="A157" s="20">
        <f t="shared" si="9"/>
        <v>156</v>
      </c>
      <c r="B157" s="9" t="s">
        <v>223</v>
      </c>
      <c r="C157" s="9" t="s">
        <v>545</v>
      </c>
      <c r="D157" s="21">
        <v>2023.0</v>
      </c>
      <c r="E157" s="21">
        <v>1.0</v>
      </c>
      <c r="F157" s="9" t="s">
        <v>295</v>
      </c>
      <c r="G157" s="9" t="s">
        <v>67</v>
      </c>
      <c r="H157" s="9" t="s">
        <v>493</v>
      </c>
      <c r="I157" s="22">
        <f t="shared" si="4"/>
        <v>1</v>
      </c>
      <c r="J157" s="23" t="b">
        <v>1</v>
      </c>
      <c r="K157" s="23" t="b">
        <v>1</v>
      </c>
      <c r="L157" s="23" t="b">
        <v>0</v>
      </c>
      <c r="M157" s="23" t="b">
        <v>1</v>
      </c>
      <c r="N157" s="23" t="b">
        <v>0</v>
      </c>
      <c r="O157" s="23" t="b">
        <v>0</v>
      </c>
      <c r="P157" s="9"/>
      <c r="Q157" s="9"/>
      <c r="R157" s="22"/>
      <c r="T157" s="24" t="str">
        <f t="shared" si="5"/>
        <v>IC IV</v>
      </c>
    </row>
    <row r="158">
      <c r="A158" s="20">
        <f t="shared" si="9"/>
        <v>157</v>
      </c>
      <c r="B158" s="9" t="s">
        <v>224</v>
      </c>
      <c r="C158" s="9" t="s">
        <v>546</v>
      </c>
      <c r="D158" s="21">
        <v>2025.0</v>
      </c>
      <c r="E158" s="21">
        <v>-1.0</v>
      </c>
      <c r="F158" s="9" t="s">
        <v>290</v>
      </c>
      <c r="G158" s="9" t="s">
        <v>71</v>
      </c>
      <c r="H158" s="9" t="s">
        <v>320</v>
      </c>
      <c r="I158" s="22">
        <f t="shared" si="4"/>
        <v>1</v>
      </c>
      <c r="J158" s="23" t="b">
        <v>1</v>
      </c>
      <c r="K158" s="23" t="b">
        <v>1</v>
      </c>
      <c r="L158" s="23" t="b">
        <v>1</v>
      </c>
      <c r="M158" s="23" t="b">
        <v>1</v>
      </c>
      <c r="N158" s="23" t="b">
        <v>0</v>
      </c>
      <c r="O158" s="23" t="b">
        <v>0</v>
      </c>
      <c r="P158" s="9"/>
      <c r="Q158" s="9"/>
      <c r="R158" s="22"/>
      <c r="T158" s="24" t="str">
        <f t="shared" si="5"/>
        <v>EC I</v>
      </c>
    </row>
    <row r="159">
      <c r="A159" s="20">
        <f t="shared" si="9"/>
        <v>158</v>
      </c>
      <c r="B159" s="9" t="s">
        <v>225</v>
      </c>
      <c r="C159" s="9" t="s">
        <v>547</v>
      </c>
      <c r="D159" s="21">
        <v>2025.0</v>
      </c>
      <c r="E159" s="21">
        <v>-1.0</v>
      </c>
      <c r="F159" s="9" t="s">
        <v>290</v>
      </c>
      <c r="G159" s="9" t="s">
        <v>71</v>
      </c>
      <c r="H159" s="9" t="s">
        <v>291</v>
      </c>
      <c r="I159" s="22">
        <f t="shared" si="4"/>
        <v>2</v>
      </c>
      <c r="J159" s="23" t="b">
        <v>1</v>
      </c>
      <c r="K159" s="23" t="b">
        <v>1</v>
      </c>
      <c r="L159" s="23" t="b">
        <v>0</v>
      </c>
      <c r="M159" s="23" t="b">
        <v>0</v>
      </c>
      <c r="N159" s="23" t="b">
        <v>0</v>
      </c>
      <c r="O159" s="23" t="b">
        <v>0</v>
      </c>
      <c r="P159" s="9"/>
      <c r="Q159" s="9"/>
      <c r="R159" s="22"/>
      <c r="T159" s="24" t="str">
        <f t="shared" si="5"/>
        <v>IC IV</v>
      </c>
    </row>
    <row r="160">
      <c r="A160" s="20">
        <f t="shared" si="9"/>
        <v>159</v>
      </c>
      <c r="B160" s="9" t="s">
        <v>226</v>
      </c>
      <c r="C160" s="9" t="s">
        <v>548</v>
      </c>
      <c r="D160" s="21">
        <v>2023.0</v>
      </c>
      <c r="E160" s="21">
        <v>-1.0</v>
      </c>
      <c r="F160" s="9" t="s">
        <v>290</v>
      </c>
      <c r="G160" s="9" t="s">
        <v>71</v>
      </c>
      <c r="H160" s="9" t="s">
        <v>320</v>
      </c>
      <c r="I160" s="22">
        <f t="shared" si="4"/>
        <v>1</v>
      </c>
      <c r="J160" s="23" t="b">
        <v>1</v>
      </c>
      <c r="K160" s="23" t="b">
        <v>1</v>
      </c>
      <c r="L160" s="23" t="b">
        <v>0</v>
      </c>
      <c r="M160" s="23" t="b">
        <v>0</v>
      </c>
      <c r="N160" s="23" t="b">
        <v>0</v>
      </c>
      <c r="O160" s="23" t="b">
        <v>0</v>
      </c>
      <c r="P160" s="9"/>
      <c r="Q160" s="9"/>
      <c r="R160" s="22"/>
      <c r="T160" s="24" t="str">
        <f t="shared" si="5"/>
        <v>IC IV</v>
      </c>
    </row>
    <row r="161">
      <c r="A161" s="20">
        <f t="shared" si="9"/>
        <v>160</v>
      </c>
      <c r="B161" s="9" t="s">
        <v>227</v>
      </c>
      <c r="C161" s="9" t="s">
        <v>549</v>
      </c>
      <c r="D161" s="21">
        <v>2024.0</v>
      </c>
      <c r="E161" s="21">
        <v>3.0</v>
      </c>
      <c r="F161" s="26" t="s">
        <v>550</v>
      </c>
      <c r="G161" s="9" t="s">
        <v>67</v>
      </c>
      <c r="H161" s="9" t="s">
        <v>362</v>
      </c>
      <c r="I161" s="22">
        <f t="shared" si="4"/>
        <v>1</v>
      </c>
      <c r="J161" s="30" t="b">
        <v>1</v>
      </c>
      <c r="K161" s="30" t="b">
        <v>1</v>
      </c>
      <c r="L161" s="30" t="b">
        <v>1</v>
      </c>
      <c r="M161" s="30" t="b">
        <v>0</v>
      </c>
      <c r="N161" s="30" t="b">
        <v>0</v>
      </c>
      <c r="O161" s="30" t="b">
        <v>0</v>
      </c>
      <c r="P161" s="23" t="b">
        <v>1</v>
      </c>
      <c r="Q161" s="23" t="b">
        <v>0</v>
      </c>
      <c r="R161" s="22"/>
      <c r="T161" s="24" t="str">
        <f t="shared" si="5"/>
        <v>OK</v>
      </c>
    </row>
    <row r="162">
      <c r="A162" s="20">
        <f t="shared" si="9"/>
        <v>161</v>
      </c>
      <c r="B162" s="9" t="s">
        <v>177</v>
      </c>
      <c r="C162" s="9" t="s">
        <v>551</v>
      </c>
      <c r="D162" s="21">
        <v>2023.0</v>
      </c>
      <c r="E162" s="21">
        <v>3.0</v>
      </c>
      <c r="F162" s="9" t="s">
        <v>295</v>
      </c>
      <c r="G162" s="9" t="s">
        <v>67</v>
      </c>
      <c r="H162" s="9" t="s">
        <v>320</v>
      </c>
      <c r="I162" s="22">
        <f t="shared" si="4"/>
        <v>1</v>
      </c>
      <c r="J162" s="23" t="b">
        <v>1</v>
      </c>
      <c r="K162" s="23" t="b">
        <v>1</v>
      </c>
      <c r="L162" s="23" t="b">
        <v>1</v>
      </c>
      <c r="M162" s="23" t="b">
        <v>0</v>
      </c>
      <c r="N162" s="23" t="b">
        <v>0</v>
      </c>
      <c r="O162" s="23" t="b">
        <v>0</v>
      </c>
      <c r="P162" s="23" t="b">
        <v>1</v>
      </c>
      <c r="Q162" s="23" t="b">
        <v>0</v>
      </c>
      <c r="R162" s="22"/>
      <c r="T162" s="24" t="str">
        <f t="shared" si="5"/>
        <v>OK</v>
      </c>
    </row>
    <row r="163">
      <c r="A163" s="20">
        <f t="shared" si="9"/>
        <v>162</v>
      </c>
      <c r="B163" s="9" t="s">
        <v>229</v>
      </c>
      <c r="C163" s="9" t="s">
        <v>549</v>
      </c>
      <c r="D163" s="21">
        <v>2024.0</v>
      </c>
      <c r="E163" s="21">
        <v>3.0</v>
      </c>
      <c r="F163" s="9" t="s">
        <v>550</v>
      </c>
      <c r="G163" s="9" t="s">
        <v>67</v>
      </c>
      <c r="H163" s="9" t="s">
        <v>352</v>
      </c>
      <c r="I163" s="22">
        <f t="shared" si="4"/>
        <v>2</v>
      </c>
      <c r="J163" s="29" t="b">
        <v>1</v>
      </c>
      <c r="K163" s="29" t="b">
        <v>1</v>
      </c>
      <c r="L163" s="29" t="b">
        <v>1</v>
      </c>
      <c r="M163" s="29" t="b">
        <v>0</v>
      </c>
      <c r="N163" s="29" t="b">
        <v>0</v>
      </c>
      <c r="O163" s="29" t="b">
        <v>0</v>
      </c>
      <c r="P163" s="28"/>
      <c r="Q163" s="28"/>
      <c r="R163" s="17">
        <v>160.0</v>
      </c>
      <c r="T163" s="24" t="str">
        <f t="shared" si="5"/>
        <v>EC IV</v>
      </c>
    </row>
    <row r="164">
      <c r="A164" s="20">
        <f t="shared" si="9"/>
        <v>163</v>
      </c>
      <c r="B164" s="9" t="s">
        <v>552</v>
      </c>
      <c r="C164" s="9" t="s">
        <v>553</v>
      </c>
      <c r="D164" s="21">
        <v>2024.0</v>
      </c>
      <c r="E164" s="21">
        <v>31.0</v>
      </c>
      <c r="F164" s="26" t="s">
        <v>295</v>
      </c>
      <c r="G164" s="9" t="s">
        <v>67</v>
      </c>
      <c r="H164" s="9" t="s">
        <v>320</v>
      </c>
      <c r="I164" s="22">
        <f t="shared" si="4"/>
        <v>1</v>
      </c>
      <c r="J164" s="23" t="b">
        <v>1</v>
      </c>
      <c r="K164" s="23" t="b">
        <v>1</v>
      </c>
      <c r="L164" s="23" t="b">
        <v>1</v>
      </c>
      <c r="M164" s="23" t="b">
        <v>0</v>
      </c>
      <c r="N164" s="23" t="b">
        <v>0</v>
      </c>
      <c r="O164" s="23" t="b">
        <v>0</v>
      </c>
      <c r="P164" s="23" t="b">
        <v>0</v>
      </c>
      <c r="Q164" s="23" t="b">
        <v>0</v>
      </c>
      <c r="R164" s="22"/>
      <c r="T164" s="24" t="str">
        <f t="shared" si="5"/>
        <v>OK</v>
      </c>
    </row>
    <row r="165">
      <c r="A165" s="20">
        <f t="shared" si="9"/>
        <v>164</v>
      </c>
      <c r="B165" s="9" t="s">
        <v>231</v>
      </c>
      <c r="C165" s="9" t="s">
        <v>554</v>
      </c>
      <c r="D165" s="21">
        <v>2023.0</v>
      </c>
      <c r="E165" s="21">
        <v>13.0</v>
      </c>
      <c r="F165" s="9" t="s">
        <v>295</v>
      </c>
      <c r="G165" s="9" t="s">
        <v>67</v>
      </c>
      <c r="H165" s="9" t="s">
        <v>313</v>
      </c>
      <c r="I165" s="22">
        <f t="shared" si="4"/>
        <v>1</v>
      </c>
      <c r="J165" s="23" t="b">
        <v>1</v>
      </c>
      <c r="K165" s="23" t="b">
        <v>1</v>
      </c>
      <c r="L165" s="23" t="b">
        <v>0</v>
      </c>
      <c r="M165" s="23" t="b">
        <v>1</v>
      </c>
      <c r="N165" s="23" t="b">
        <v>0</v>
      </c>
      <c r="O165" s="23" t="b">
        <v>0</v>
      </c>
      <c r="P165" s="9"/>
      <c r="Q165" s="9"/>
      <c r="R165" s="22"/>
      <c r="T165" s="24" t="str">
        <f t="shared" si="5"/>
        <v>IC IV</v>
      </c>
    </row>
    <row r="166">
      <c r="A166" s="20">
        <f t="shared" si="9"/>
        <v>165</v>
      </c>
      <c r="B166" s="9" t="s">
        <v>232</v>
      </c>
      <c r="C166" s="9" t="s">
        <v>555</v>
      </c>
      <c r="D166" s="21">
        <v>2024.0</v>
      </c>
      <c r="E166" s="21">
        <v>9.0</v>
      </c>
      <c r="F166" s="26" t="s">
        <v>556</v>
      </c>
      <c r="G166" s="9" t="s">
        <v>67</v>
      </c>
      <c r="H166" s="9" t="s">
        <v>320</v>
      </c>
      <c r="I166" s="22">
        <f t="shared" si="4"/>
        <v>1</v>
      </c>
      <c r="J166" s="23" t="b">
        <v>1</v>
      </c>
      <c r="K166" s="23" t="b">
        <v>1</v>
      </c>
      <c r="L166" s="23" t="b">
        <v>1</v>
      </c>
      <c r="M166" s="23" t="b">
        <v>0</v>
      </c>
      <c r="N166" s="23" t="b">
        <v>0</v>
      </c>
      <c r="O166" s="23" t="b">
        <v>0</v>
      </c>
      <c r="P166" s="23" t="b">
        <v>1</v>
      </c>
      <c r="Q166" s="23" t="b">
        <v>0</v>
      </c>
      <c r="R166" s="22"/>
      <c r="T166" s="24" t="str">
        <f t="shared" si="5"/>
        <v>OK</v>
      </c>
    </row>
    <row r="167">
      <c r="A167" s="20">
        <f t="shared" si="9"/>
        <v>166</v>
      </c>
      <c r="B167" s="9" t="s">
        <v>233</v>
      </c>
      <c r="C167" s="9" t="s">
        <v>557</v>
      </c>
      <c r="D167" s="21">
        <v>2025.0</v>
      </c>
      <c r="E167" s="21">
        <v>-1.0</v>
      </c>
      <c r="F167" s="9" t="s">
        <v>290</v>
      </c>
      <c r="G167" s="9" t="s">
        <v>71</v>
      </c>
      <c r="H167" s="9" t="s">
        <v>291</v>
      </c>
      <c r="I167" s="22">
        <f t="shared" si="4"/>
        <v>2</v>
      </c>
      <c r="J167" s="23" t="b">
        <v>1</v>
      </c>
      <c r="K167" s="23" t="b">
        <v>1</v>
      </c>
      <c r="L167" s="23" t="b">
        <v>0</v>
      </c>
      <c r="M167" s="23" t="b">
        <v>1</v>
      </c>
      <c r="N167" s="23" t="b">
        <v>0</v>
      </c>
      <c r="O167" s="23" t="b">
        <v>0</v>
      </c>
      <c r="P167" s="9"/>
      <c r="Q167" s="9"/>
      <c r="R167" s="22"/>
      <c r="T167" s="24" t="str">
        <f t="shared" si="5"/>
        <v>IC IV</v>
      </c>
    </row>
    <row r="168">
      <c r="A168" s="20">
        <f t="shared" si="9"/>
        <v>167</v>
      </c>
      <c r="B168" s="9" t="s">
        <v>234</v>
      </c>
      <c r="C168" s="9" t="s">
        <v>558</v>
      </c>
      <c r="D168" s="21">
        <v>2024.0</v>
      </c>
      <c r="E168" s="21">
        <v>3.0</v>
      </c>
      <c r="F168" s="9" t="s">
        <v>559</v>
      </c>
      <c r="G168" s="9" t="s">
        <v>67</v>
      </c>
      <c r="H168" s="9" t="s">
        <v>296</v>
      </c>
      <c r="I168" s="22">
        <f t="shared" si="4"/>
        <v>1</v>
      </c>
      <c r="J168" s="23" t="b">
        <v>1</v>
      </c>
      <c r="K168" s="23" t="b">
        <v>1</v>
      </c>
      <c r="L168" s="23" t="b">
        <v>0</v>
      </c>
      <c r="M168" s="23" t="b">
        <v>0</v>
      </c>
      <c r="N168" s="23" t="b">
        <v>0</v>
      </c>
      <c r="O168" s="23" t="b">
        <v>0</v>
      </c>
      <c r="P168" s="9"/>
      <c r="Q168" s="9"/>
      <c r="R168" s="22"/>
      <c r="T168" s="24" t="str">
        <f t="shared" si="5"/>
        <v>IC IV</v>
      </c>
    </row>
    <row r="169">
      <c r="A169" s="20">
        <f t="shared" si="9"/>
        <v>168</v>
      </c>
      <c r="B169" s="9" t="s">
        <v>235</v>
      </c>
      <c r="C169" s="9" t="s">
        <v>560</v>
      </c>
      <c r="D169" s="21">
        <v>2025.0</v>
      </c>
      <c r="E169" s="21">
        <v>3.0</v>
      </c>
      <c r="F169" s="9" t="s">
        <v>561</v>
      </c>
      <c r="G169" s="9" t="s">
        <v>67</v>
      </c>
      <c r="H169" s="9" t="s">
        <v>341</v>
      </c>
      <c r="I169" s="22">
        <f t="shared" si="4"/>
        <v>1</v>
      </c>
      <c r="J169" s="23" t="b">
        <v>1</v>
      </c>
      <c r="K169" s="23" t="b">
        <v>1</v>
      </c>
      <c r="L169" s="23" t="b">
        <v>0</v>
      </c>
      <c r="M169" s="23" t="b">
        <v>1</v>
      </c>
      <c r="N169" s="23" t="b">
        <v>0</v>
      </c>
      <c r="O169" s="23" t="b">
        <v>0</v>
      </c>
      <c r="P169" s="9"/>
      <c r="Q169" s="9"/>
      <c r="R169" s="22"/>
      <c r="T169" s="24" t="str">
        <f t="shared" si="5"/>
        <v>IC IV</v>
      </c>
    </row>
    <row r="170">
      <c r="A170" s="20">
        <f t="shared" si="9"/>
        <v>169</v>
      </c>
      <c r="B170" s="9" t="s">
        <v>236</v>
      </c>
      <c r="C170" s="9" t="s">
        <v>562</v>
      </c>
      <c r="D170" s="21">
        <v>2024.0</v>
      </c>
      <c r="E170" s="21">
        <v>1.0</v>
      </c>
      <c r="F170" s="9" t="s">
        <v>563</v>
      </c>
      <c r="G170" s="9" t="s">
        <v>67</v>
      </c>
      <c r="H170" s="9" t="s">
        <v>362</v>
      </c>
      <c r="I170" s="22">
        <f t="shared" si="4"/>
        <v>1</v>
      </c>
      <c r="J170" s="23" t="b">
        <v>1</v>
      </c>
      <c r="K170" s="23" t="b">
        <v>1</v>
      </c>
      <c r="L170" s="23" t="b">
        <v>0</v>
      </c>
      <c r="M170" s="23" t="b">
        <v>1</v>
      </c>
      <c r="N170" s="23" t="b">
        <v>0</v>
      </c>
      <c r="O170" s="23" t="b">
        <v>0</v>
      </c>
      <c r="P170" s="9"/>
      <c r="Q170" s="9"/>
      <c r="R170" s="22"/>
      <c r="T170" s="24" t="str">
        <f t="shared" si="5"/>
        <v>IC IV</v>
      </c>
    </row>
    <row r="171">
      <c r="A171" s="20">
        <f t="shared" si="9"/>
        <v>170</v>
      </c>
      <c r="B171" s="9" t="s">
        <v>213</v>
      </c>
      <c r="C171" s="9" t="s">
        <v>564</v>
      </c>
      <c r="D171" s="21">
        <v>2024.0</v>
      </c>
      <c r="E171" s="21">
        <v>9.0</v>
      </c>
      <c r="F171" s="9" t="s">
        <v>295</v>
      </c>
      <c r="G171" s="9" t="s">
        <v>67</v>
      </c>
      <c r="H171" s="9" t="s">
        <v>341</v>
      </c>
      <c r="I171" s="22">
        <f t="shared" si="4"/>
        <v>1</v>
      </c>
      <c r="J171" s="23" t="b">
        <v>1</v>
      </c>
      <c r="K171" s="23" t="b">
        <v>1</v>
      </c>
      <c r="L171" s="23" t="b">
        <v>1</v>
      </c>
      <c r="M171" s="23" t="b">
        <v>0</v>
      </c>
      <c r="N171" s="23" t="b">
        <v>0</v>
      </c>
      <c r="O171" s="23" t="b">
        <v>0</v>
      </c>
      <c r="P171" s="23" t="b">
        <v>1</v>
      </c>
      <c r="Q171" s="23" t="b">
        <v>0</v>
      </c>
      <c r="R171" s="22"/>
      <c r="S171" s="3" t="s">
        <v>531</v>
      </c>
      <c r="T171" s="24" t="str">
        <f t="shared" si="5"/>
        <v>SA</v>
      </c>
    </row>
    <row r="172">
      <c r="A172" s="20">
        <f t="shared" si="9"/>
        <v>171</v>
      </c>
      <c r="B172" s="9" t="s">
        <v>238</v>
      </c>
      <c r="C172" s="9" t="s">
        <v>565</v>
      </c>
      <c r="D172" s="21">
        <v>2025.0</v>
      </c>
      <c r="E172" s="21">
        <v>-1.0</v>
      </c>
      <c r="F172" s="9" t="s">
        <v>290</v>
      </c>
      <c r="G172" s="9" t="s">
        <v>71</v>
      </c>
      <c r="H172" s="9" t="s">
        <v>313</v>
      </c>
      <c r="I172" s="22">
        <f t="shared" si="4"/>
        <v>1</v>
      </c>
      <c r="J172" s="23" t="b">
        <v>1</v>
      </c>
      <c r="K172" s="23" t="b">
        <v>1</v>
      </c>
      <c r="L172" s="23" t="b">
        <v>0</v>
      </c>
      <c r="M172" s="23" t="b">
        <v>1</v>
      </c>
      <c r="N172" s="23" t="b">
        <v>0</v>
      </c>
      <c r="O172" s="23" t="b">
        <v>0</v>
      </c>
      <c r="P172" s="9"/>
      <c r="Q172" s="9"/>
      <c r="R172" s="22"/>
      <c r="T172" s="24" t="str">
        <f t="shared" si="5"/>
        <v>IC IV</v>
      </c>
    </row>
    <row r="173">
      <c r="A173" s="20">
        <f t="shared" si="9"/>
        <v>172</v>
      </c>
      <c r="B173" s="9" t="s">
        <v>239</v>
      </c>
      <c r="C173" s="9" t="s">
        <v>566</v>
      </c>
      <c r="D173" s="21">
        <v>2025.0</v>
      </c>
      <c r="E173" s="21">
        <v>-1.0</v>
      </c>
      <c r="F173" s="9" t="s">
        <v>290</v>
      </c>
      <c r="G173" s="9" t="s">
        <v>71</v>
      </c>
      <c r="H173" s="9" t="s">
        <v>320</v>
      </c>
      <c r="I173" s="22">
        <f t="shared" si="4"/>
        <v>1</v>
      </c>
      <c r="J173" s="23" t="b">
        <v>1</v>
      </c>
      <c r="K173" s="23" t="b">
        <v>0</v>
      </c>
      <c r="L173" s="23" t="b">
        <v>0</v>
      </c>
      <c r="M173" s="23" t="b">
        <v>0</v>
      </c>
      <c r="N173" s="23" t="b">
        <v>0</v>
      </c>
      <c r="O173" s="23" t="b">
        <v>1</v>
      </c>
      <c r="P173" s="9"/>
      <c r="Q173" s="9"/>
      <c r="R173" s="22"/>
      <c r="T173" s="24" t="str">
        <f t="shared" si="5"/>
        <v>IC III</v>
      </c>
    </row>
    <row r="174">
      <c r="A174" s="20">
        <f t="shared" si="9"/>
        <v>173</v>
      </c>
      <c r="B174" s="9" t="s">
        <v>240</v>
      </c>
      <c r="C174" s="9" t="s">
        <v>567</v>
      </c>
      <c r="D174" s="21">
        <v>2025.0</v>
      </c>
      <c r="E174" s="21">
        <v>-1.0</v>
      </c>
      <c r="F174" s="9" t="s">
        <v>290</v>
      </c>
      <c r="G174" s="9" t="s">
        <v>71</v>
      </c>
      <c r="H174" s="9" t="s">
        <v>329</v>
      </c>
      <c r="I174" s="22">
        <f t="shared" si="4"/>
        <v>1</v>
      </c>
      <c r="J174" s="23" t="b">
        <v>1</v>
      </c>
      <c r="K174" s="23" t="b">
        <v>1</v>
      </c>
      <c r="L174" s="23" t="b">
        <v>0</v>
      </c>
      <c r="M174" s="23" t="b">
        <v>1</v>
      </c>
      <c r="N174" s="23" t="b">
        <v>0</v>
      </c>
      <c r="O174" s="23" t="b">
        <v>0</v>
      </c>
      <c r="P174" s="9"/>
      <c r="Q174" s="9"/>
      <c r="R174" s="22"/>
      <c r="T174" s="24" t="str">
        <f t="shared" si="5"/>
        <v>IC IV</v>
      </c>
    </row>
    <row r="175">
      <c r="A175" s="20">
        <f t="shared" si="9"/>
        <v>174</v>
      </c>
      <c r="B175" s="9" t="s">
        <v>241</v>
      </c>
      <c r="C175" s="9" t="s">
        <v>568</v>
      </c>
      <c r="D175" s="21">
        <v>2024.0</v>
      </c>
      <c r="E175" s="21">
        <v>9.0</v>
      </c>
      <c r="F175" s="9" t="s">
        <v>569</v>
      </c>
      <c r="G175" s="9" t="s">
        <v>67</v>
      </c>
      <c r="H175" s="9" t="s">
        <v>341</v>
      </c>
      <c r="I175" s="22">
        <f t="shared" si="4"/>
        <v>1</v>
      </c>
      <c r="J175" s="23" t="b">
        <v>1</v>
      </c>
      <c r="K175" s="23" t="b">
        <v>1</v>
      </c>
      <c r="L175" s="23" t="b">
        <v>0</v>
      </c>
      <c r="M175" s="23" t="b">
        <v>1</v>
      </c>
      <c r="N175" s="23" t="b">
        <v>0</v>
      </c>
      <c r="O175" s="23" t="b">
        <v>0</v>
      </c>
      <c r="P175" s="9"/>
      <c r="Q175" s="9"/>
      <c r="R175" s="22"/>
      <c r="T175" s="24" t="str">
        <f t="shared" si="5"/>
        <v>IC IV</v>
      </c>
    </row>
    <row r="176">
      <c r="A176" s="20">
        <f t="shared" si="9"/>
        <v>175</v>
      </c>
      <c r="B176" s="9" t="s">
        <v>242</v>
      </c>
      <c r="C176" s="9" t="s">
        <v>570</v>
      </c>
      <c r="D176" s="21">
        <v>2025.0</v>
      </c>
      <c r="E176" s="21">
        <v>2.0</v>
      </c>
      <c r="F176" s="9" t="s">
        <v>571</v>
      </c>
      <c r="G176" s="9" t="s">
        <v>67</v>
      </c>
      <c r="H176" s="9" t="s">
        <v>296</v>
      </c>
      <c r="I176" s="22">
        <f t="shared" si="4"/>
        <v>1</v>
      </c>
      <c r="J176" s="23" t="b">
        <v>1</v>
      </c>
      <c r="K176" s="23" t="b">
        <v>1</v>
      </c>
      <c r="L176" s="23" t="b">
        <v>0</v>
      </c>
      <c r="M176" s="23" t="b">
        <v>1</v>
      </c>
      <c r="N176" s="23" t="b">
        <v>0</v>
      </c>
      <c r="O176" s="23" t="b">
        <v>0</v>
      </c>
      <c r="P176" s="9"/>
      <c r="Q176" s="9"/>
      <c r="R176" s="22"/>
      <c r="T176" s="24" t="str">
        <f t="shared" si="5"/>
        <v>IC IV</v>
      </c>
    </row>
    <row r="177">
      <c r="A177" s="20">
        <f t="shared" si="9"/>
        <v>176</v>
      </c>
      <c r="B177" s="9" t="s">
        <v>243</v>
      </c>
      <c r="C177" s="9" t="s">
        <v>572</v>
      </c>
      <c r="D177" s="21">
        <v>2023.0</v>
      </c>
      <c r="E177" s="21">
        <v>363.0</v>
      </c>
      <c r="F177" s="9" t="s">
        <v>572</v>
      </c>
      <c r="G177" s="9" t="s">
        <v>67</v>
      </c>
      <c r="H177" s="9" t="s">
        <v>320</v>
      </c>
      <c r="I177" s="22">
        <f t="shared" si="4"/>
        <v>1</v>
      </c>
      <c r="J177" s="23" t="b">
        <v>1</v>
      </c>
      <c r="K177" s="23" t="b">
        <v>1</v>
      </c>
      <c r="L177" s="23" t="b">
        <v>0</v>
      </c>
      <c r="M177" s="23" t="b">
        <v>1</v>
      </c>
      <c r="N177" s="23" t="b">
        <v>0</v>
      </c>
      <c r="O177" s="23" t="b">
        <v>0</v>
      </c>
      <c r="P177" s="9"/>
      <c r="Q177" s="9"/>
      <c r="R177" s="22"/>
      <c r="T177" s="24" t="str">
        <f t="shared" si="5"/>
        <v>IC IV</v>
      </c>
    </row>
    <row r="178">
      <c r="A178" s="20">
        <f t="shared" si="9"/>
        <v>177</v>
      </c>
      <c r="B178" s="9" t="s">
        <v>244</v>
      </c>
      <c r="C178" s="9" t="s">
        <v>573</v>
      </c>
      <c r="D178" s="21">
        <v>2024.0</v>
      </c>
      <c r="E178" s="21">
        <v>4.0</v>
      </c>
      <c r="F178" s="9" t="s">
        <v>573</v>
      </c>
      <c r="G178" s="9" t="s">
        <v>67</v>
      </c>
      <c r="H178" s="9" t="s">
        <v>296</v>
      </c>
      <c r="I178" s="22">
        <f t="shared" si="4"/>
        <v>1</v>
      </c>
      <c r="J178" s="23" t="b">
        <v>1</v>
      </c>
      <c r="K178" s="23" t="b">
        <v>1</v>
      </c>
      <c r="L178" s="23" t="b">
        <v>0</v>
      </c>
      <c r="M178" s="23" t="b">
        <v>1</v>
      </c>
      <c r="N178" s="23" t="b">
        <v>0</v>
      </c>
      <c r="O178" s="23" t="b">
        <v>0</v>
      </c>
      <c r="P178" s="9"/>
      <c r="Q178" s="9"/>
      <c r="R178" s="22"/>
      <c r="T178" s="24" t="str">
        <f t="shared" si="5"/>
        <v>IC IV</v>
      </c>
    </row>
    <row r="179">
      <c r="A179" s="20">
        <f t="shared" si="9"/>
        <v>178</v>
      </c>
      <c r="B179" s="9" t="s">
        <v>245</v>
      </c>
      <c r="C179" s="9" t="s">
        <v>574</v>
      </c>
      <c r="D179" s="21">
        <v>2023.0</v>
      </c>
      <c r="E179" s="21">
        <v>4.0</v>
      </c>
      <c r="F179" s="9" t="s">
        <v>574</v>
      </c>
      <c r="G179" s="9" t="s">
        <v>67</v>
      </c>
      <c r="H179" s="9" t="s">
        <v>320</v>
      </c>
      <c r="I179" s="22">
        <f t="shared" si="4"/>
        <v>1</v>
      </c>
      <c r="J179" s="23" t="b">
        <v>1</v>
      </c>
      <c r="K179" s="23" t="b">
        <v>1</v>
      </c>
      <c r="L179" s="23" t="b">
        <v>0</v>
      </c>
      <c r="M179" s="23" t="b">
        <v>1</v>
      </c>
      <c r="N179" s="23" t="b">
        <v>0</v>
      </c>
      <c r="O179" s="23" t="b">
        <v>0</v>
      </c>
      <c r="P179" s="9"/>
      <c r="Q179" s="9"/>
      <c r="R179" s="22"/>
      <c r="T179" s="24" t="str">
        <f t="shared" si="5"/>
        <v>IC IV</v>
      </c>
    </row>
    <row r="180">
      <c r="A180" s="20">
        <f t="shared" si="9"/>
        <v>179</v>
      </c>
      <c r="B180" s="9" t="s">
        <v>246</v>
      </c>
      <c r="C180" s="9" t="s">
        <v>575</v>
      </c>
      <c r="D180" s="21">
        <v>2023.0</v>
      </c>
      <c r="E180" s="21">
        <v>16.0</v>
      </c>
      <c r="F180" s="9" t="s">
        <v>575</v>
      </c>
      <c r="G180" s="9" t="s">
        <v>67</v>
      </c>
      <c r="H180" s="9" t="s">
        <v>329</v>
      </c>
      <c r="I180" s="22">
        <f t="shared" si="4"/>
        <v>1</v>
      </c>
      <c r="J180" s="23" t="b">
        <v>1</v>
      </c>
      <c r="K180" s="23" t="b">
        <v>1</v>
      </c>
      <c r="L180" s="23" t="b">
        <v>0</v>
      </c>
      <c r="M180" s="23" t="b">
        <v>1</v>
      </c>
      <c r="N180" s="23" t="b">
        <v>0</v>
      </c>
      <c r="O180" s="23" t="b">
        <v>0</v>
      </c>
      <c r="P180" s="9"/>
      <c r="Q180" s="9"/>
      <c r="R180" s="22"/>
      <c r="T180" s="24" t="str">
        <f t="shared" si="5"/>
        <v>IC IV</v>
      </c>
    </row>
    <row r="181">
      <c r="A181" s="20">
        <f t="shared" si="9"/>
        <v>180</v>
      </c>
      <c r="B181" s="9" t="s">
        <v>247</v>
      </c>
      <c r="C181" s="9" t="s">
        <v>576</v>
      </c>
      <c r="D181" s="21">
        <v>2025.0</v>
      </c>
      <c r="E181" s="21">
        <v>2.0</v>
      </c>
      <c r="F181" s="9" t="s">
        <v>576</v>
      </c>
      <c r="G181" s="9" t="s">
        <v>67</v>
      </c>
      <c r="H181" s="9" t="s">
        <v>296</v>
      </c>
      <c r="I181" s="22">
        <f t="shared" si="4"/>
        <v>1</v>
      </c>
      <c r="J181" s="23" t="b">
        <v>1</v>
      </c>
      <c r="K181" s="23" t="b">
        <v>1</v>
      </c>
      <c r="L181" s="23" t="b">
        <v>0</v>
      </c>
      <c r="M181" s="23" t="b">
        <v>1</v>
      </c>
      <c r="N181" s="23" t="b">
        <v>0</v>
      </c>
      <c r="O181" s="23" t="b">
        <v>0</v>
      </c>
      <c r="P181" s="9"/>
      <c r="Q181" s="9"/>
      <c r="R181" s="22"/>
      <c r="T181" s="24" t="str">
        <f t="shared" si="5"/>
        <v>IC IV</v>
      </c>
    </row>
    <row r="182">
      <c r="A182" s="20">
        <f t="shared" si="9"/>
        <v>181</v>
      </c>
      <c r="B182" s="9" t="s">
        <v>248</v>
      </c>
      <c r="C182" s="9" t="s">
        <v>577</v>
      </c>
      <c r="D182" s="21">
        <v>2024.0</v>
      </c>
      <c r="E182" s="21">
        <v>8.0</v>
      </c>
      <c r="F182" s="26" t="s">
        <v>577</v>
      </c>
      <c r="G182" s="9" t="s">
        <v>67</v>
      </c>
      <c r="H182" s="9" t="s">
        <v>362</v>
      </c>
      <c r="I182" s="22">
        <f t="shared" si="4"/>
        <v>1</v>
      </c>
      <c r="J182" s="23" t="b">
        <v>1</v>
      </c>
      <c r="K182" s="23" t="b">
        <v>1</v>
      </c>
      <c r="L182" s="23" t="b">
        <v>1</v>
      </c>
      <c r="M182" s="23" t="b">
        <v>0</v>
      </c>
      <c r="N182" s="23" t="b">
        <v>0</v>
      </c>
      <c r="O182" s="23" t="b">
        <v>0</v>
      </c>
      <c r="P182" s="23" t="b">
        <v>1</v>
      </c>
      <c r="Q182" s="23" t="b">
        <v>0</v>
      </c>
      <c r="R182" s="22"/>
      <c r="T182" s="24" t="str">
        <f t="shared" si="5"/>
        <v>OK</v>
      </c>
    </row>
    <row r="183">
      <c r="A183" s="20">
        <f t="shared" si="9"/>
        <v>182</v>
      </c>
      <c r="B183" s="9" t="s">
        <v>249</v>
      </c>
      <c r="C183" s="9" t="s">
        <v>578</v>
      </c>
      <c r="D183" s="21">
        <v>2024.0</v>
      </c>
      <c r="E183" s="21">
        <v>28.0</v>
      </c>
      <c r="F183" s="9" t="s">
        <v>578</v>
      </c>
      <c r="G183" s="9" t="s">
        <v>67</v>
      </c>
      <c r="H183" s="9" t="s">
        <v>296</v>
      </c>
      <c r="I183" s="22">
        <f t="shared" si="4"/>
        <v>1</v>
      </c>
      <c r="J183" s="23" t="b">
        <v>1</v>
      </c>
      <c r="K183" s="23" t="b">
        <v>1</v>
      </c>
      <c r="L183" s="23" t="b">
        <v>0</v>
      </c>
      <c r="M183" s="23" t="b">
        <v>1</v>
      </c>
      <c r="N183" s="23" t="b">
        <v>0</v>
      </c>
      <c r="O183" s="23" t="b">
        <v>0</v>
      </c>
      <c r="P183" s="9"/>
      <c r="Q183" s="9"/>
      <c r="R183" s="22"/>
      <c r="T183" s="24" t="str">
        <f t="shared" si="5"/>
        <v>IC IV</v>
      </c>
    </row>
    <row r="184">
      <c r="A184" s="20">
        <f t="shared" si="9"/>
        <v>183</v>
      </c>
      <c r="B184" s="9" t="s">
        <v>250</v>
      </c>
      <c r="C184" s="9" t="s">
        <v>579</v>
      </c>
      <c r="D184" s="21">
        <v>2025.0</v>
      </c>
      <c r="E184" s="21">
        <v>3.0</v>
      </c>
      <c r="F184" s="9" t="s">
        <v>579</v>
      </c>
      <c r="G184" s="9" t="s">
        <v>67</v>
      </c>
      <c r="H184" s="9" t="s">
        <v>341</v>
      </c>
      <c r="I184" s="22">
        <f t="shared" si="4"/>
        <v>1</v>
      </c>
      <c r="J184" s="23" t="b">
        <v>1</v>
      </c>
      <c r="K184" s="23" t="b">
        <v>1</v>
      </c>
      <c r="L184" s="23" t="b">
        <v>1</v>
      </c>
      <c r="M184" s="23" t="b">
        <v>0</v>
      </c>
      <c r="N184" s="23" t="b">
        <v>0</v>
      </c>
      <c r="O184" s="23" t="b">
        <v>0</v>
      </c>
      <c r="P184" s="23" t="b">
        <v>1</v>
      </c>
      <c r="Q184" s="23" t="b">
        <v>1</v>
      </c>
      <c r="R184" s="22"/>
      <c r="T184" s="24" t="str">
        <f t="shared" si="5"/>
        <v>EC V</v>
      </c>
    </row>
    <row r="185">
      <c r="A185" s="20">
        <f t="shared" si="9"/>
        <v>184</v>
      </c>
      <c r="B185" s="9" t="s">
        <v>251</v>
      </c>
      <c r="C185" s="9" t="s">
        <v>580</v>
      </c>
      <c r="D185" s="21">
        <v>2023.0</v>
      </c>
      <c r="E185" s="21">
        <v>17.0</v>
      </c>
      <c r="F185" s="26" t="s">
        <v>580</v>
      </c>
      <c r="G185" s="9" t="s">
        <v>67</v>
      </c>
      <c r="H185" s="9" t="s">
        <v>329</v>
      </c>
      <c r="I185" s="22">
        <f t="shared" si="4"/>
        <v>1</v>
      </c>
      <c r="J185" s="23" t="b">
        <v>1</v>
      </c>
      <c r="K185" s="23" t="b">
        <v>1</v>
      </c>
      <c r="L185" s="23" t="b">
        <v>1</v>
      </c>
      <c r="M185" s="23" t="b">
        <v>0</v>
      </c>
      <c r="N185" s="23" t="b">
        <v>0</v>
      </c>
      <c r="O185" s="23" t="b">
        <v>0</v>
      </c>
      <c r="P185" s="23" t="b">
        <v>1</v>
      </c>
      <c r="Q185" s="23" t="b">
        <v>0</v>
      </c>
      <c r="R185" s="22"/>
      <c r="T185" s="24" t="str">
        <f t="shared" si="5"/>
        <v>OK</v>
      </c>
    </row>
    <row r="186">
      <c r="A186" s="20">
        <f t="shared" si="9"/>
        <v>185</v>
      </c>
      <c r="B186" s="9" t="s">
        <v>252</v>
      </c>
      <c r="C186" s="9" t="s">
        <v>581</v>
      </c>
      <c r="D186" s="21">
        <v>2023.0</v>
      </c>
      <c r="E186" s="21">
        <v>1.0</v>
      </c>
      <c r="F186" s="9" t="s">
        <v>581</v>
      </c>
      <c r="G186" s="9" t="s">
        <v>67</v>
      </c>
      <c r="H186" s="9" t="s">
        <v>296</v>
      </c>
      <c r="I186" s="22">
        <f t="shared" si="4"/>
        <v>1</v>
      </c>
      <c r="J186" s="23" t="b">
        <v>1</v>
      </c>
      <c r="K186" s="23" t="b">
        <v>1</v>
      </c>
      <c r="L186" s="23" t="b">
        <v>0</v>
      </c>
      <c r="M186" s="23" t="b">
        <v>0</v>
      </c>
      <c r="N186" s="23" t="b">
        <v>1</v>
      </c>
      <c r="O186" s="23" t="b">
        <v>0</v>
      </c>
      <c r="P186" s="9"/>
      <c r="Q186" s="9"/>
      <c r="R186" s="22"/>
      <c r="T186" s="24" t="str">
        <f t="shared" si="5"/>
        <v>IC IV</v>
      </c>
    </row>
    <row r="187">
      <c r="A187" s="20">
        <f t="shared" si="9"/>
        <v>186</v>
      </c>
      <c r="B187" s="9" t="s">
        <v>253</v>
      </c>
      <c r="C187" s="9" t="s">
        <v>582</v>
      </c>
      <c r="D187" s="21">
        <v>2024.0</v>
      </c>
      <c r="E187" s="21">
        <v>8.0</v>
      </c>
      <c r="F187" s="9" t="s">
        <v>582</v>
      </c>
      <c r="G187" s="9" t="s">
        <v>67</v>
      </c>
      <c r="H187" s="9" t="s">
        <v>362</v>
      </c>
      <c r="I187" s="22">
        <f t="shared" si="4"/>
        <v>1</v>
      </c>
      <c r="J187" s="23" t="b">
        <v>1</v>
      </c>
      <c r="K187" s="23" t="b">
        <v>1</v>
      </c>
      <c r="L187" s="23" t="b">
        <v>0</v>
      </c>
      <c r="M187" s="23" t="b">
        <v>0</v>
      </c>
      <c r="N187" s="23" t="b">
        <v>0</v>
      </c>
      <c r="O187" s="23" t="b">
        <v>0</v>
      </c>
      <c r="P187" s="9"/>
      <c r="Q187" s="9"/>
      <c r="R187" s="22"/>
      <c r="T187" s="24" t="str">
        <f t="shared" si="5"/>
        <v>IC IV</v>
      </c>
    </row>
    <row r="188">
      <c r="A188" s="20">
        <f t="shared" si="9"/>
        <v>187</v>
      </c>
      <c r="B188" s="9" t="s">
        <v>254</v>
      </c>
      <c r="C188" s="9" t="s">
        <v>583</v>
      </c>
      <c r="D188" s="21">
        <v>2023.0</v>
      </c>
      <c r="E188" s="21">
        <v>53.0</v>
      </c>
      <c r="F188" s="9" t="s">
        <v>583</v>
      </c>
      <c r="G188" s="9" t="s">
        <v>67</v>
      </c>
      <c r="H188" s="9" t="s">
        <v>296</v>
      </c>
      <c r="I188" s="22">
        <f t="shared" si="4"/>
        <v>1</v>
      </c>
      <c r="J188" s="23" t="b">
        <v>1</v>
      </c>
      <c r="K188" s="23" t="b">
        <v>1</v>
      </c>
      <c r="L188" s="23" t="b">
        <v>0</v>
      </c>
      <c r="M188" s="23" t="b">
        <v>0</v>
      </c>
      <c r="N188" s="23" t="b">
        <v>0</v>
      </c>
      <c r="O188" s="23" t="b">
        <v>0</v>
      </c>
      <c r="P188" s="23" t="b">
        <v>0</v>
      </c>
      <c r="Q188" s="23" t="b">
        <v>0</v>
      </c>
      <c r="R188" s="22"/>
      <c r="T188" s="24" t="str">
        <f t="shared" si="5"/>
        <v>IC IV</v>
      </c>
    </row>
    <row r="189">
      <c r="A189" s="20">
        <f t="shared" si="9"/>
        <v>188</v>
      </c>
      <c r="B189" s="9" t="s">
        <v>255</v>
      </c>
      <c r="C189" s="9" t="s">
        <v>584</v>
      </c>
      <c r="D189" s="21">
        <v>2023.0</v>
      </c>
      <c r="E189" s="21">
        <v>38.0</v>
      </c>
      <c r="F189" s="9" t="s">
        <v>584</v>
      </c>
      <c r="G189" s="9" t="s">
        <v>67</v>
      </c>
      <c r="H189" s="9" t="s">
        <v>329</v>
      </c>
      <c r="I189" s="22">
        <f t="shared" si="4"/>
        <v>1</v>
      </c>
      <c r="J189" s="23" t="b">
        <v>1</v>
      </c>
      <c r="K189" s="23" t="b">
        <v>1</v>
      </c>
      <c r="L189" s="23" t="b">
        <v>0</v>
      </c>
      <c r="M189" s="23" t="b">
        <v>1</v>
      </c>
      <c r="N189" s="23" t="b">
        <v>0</v>
      </c>
      <c r="O189" s="23" t="b">
        <v>0</v>
      </c>
      <c r="P189" s="9"/>
      <c r="Q189" s="9"/>
      <c r="R189" s="22"/>
      <c r="T189" s="24" t="str">
        <f t="shared" si="5"/>
        <v>IC IV</v>
      </c>
    </row>
    <row r="190">
      <c r="A190" s="20">
        <f t="shared" si="9"/>
        <v>189</v>
      </c>
      <c r="B190" s="9" t="s">
        <v>256</v>
      </c>
      <c r="C190" s="9" t="s">
        <v>585</v>
      </c>
      <c r="D190" s="21">
        <v>2024.0</v>
      </c>
      <c r="E190" s="21">
        <v>4.0</v>
      </c>
      <c r="F190" s="9" t="s">
        <v>585</v>
      </c>
      <c r="G190" s="9" t="s">
        <v>67</v>
      </c>
      <c r="H190" s="9" t="s">
        <v>313</v>
      </c>
      <c r="I190" s="22">
        <f t="shared" si="4"/>
        <v>1</v>
      </c>
      <c r="J190" s="23" t="b">
        <v>1</v>
      </c>
      <c r="K190" s="23" t="b">
        <v>1</v>
      </c>
      <c r="L190" s="23" t="b">
        <v>0</v>
      </c>
      <c r="M190" s="23" t="b">
        <v>1</v>
      </c>
      <c r="N190" s="23" t="b">
        <v>0</v>
      </c>
      <c r="O190" s="23" t="b">
        <v>0</v>
      </c>
      <c r="P190" s="9"/>
      <c r="Q190" s="9"/>
      <c r="R190" s="22"/>
      <c r="T190" s="24" t="str">
        <f t="shared" si="5"/>
        <v>IC IV</v>
      </c>
    </row>
    <row r="191">
      <c r="A191" s="20">
        <f t="shared" si="9"/>
        <v>190</v>
      </c>
      <c r="B191" s="9" t="s">
        <v>257</v>
      </c>
      <c r="C191" s="9" t="s">
        <v>586</v>
      </c>
      <c r="D191" s="21">
        <v>2023.0</v>
      </c>
      <c r="E191" s="21">
        <v>7.0</v>
      </c>
      <c r="F191" s="9" t="s">
        <v>586</v>
      </c>
      <c r="G191" s="9" t="s">
        <v>67</v>
      </c>
      <c r="H191" s="9" t="s">
        <v>296</v>
      </c>
      <c r="I191" s="22">
        <f t="shared" si="4"/>
        <v>1</v>
      </c>
      <c r="J191" s="23" t="b">
        <v>1</v>
      </c>
      <c r="K191" s="23" t="b">
        <v>1</v>
      </c>
      <c r="L191" s="23" t="b">
        <v>0</v>
      </c>
      <c r="M191" s="23" t="b">
        <v>1</v>
      </c>
      <c r="N191" s="23" t="b">
        <v>0</v>
      </c>
      <c r="O191" s="23" t="b">
        <v>0</v>
      </c>
      <c r="P191" s="9"/>
      <c r="Q191" s="9"/>
      <c r="R191" s="22"/>
      <c r="T191" s="24" t="str">
        <f t="shared" si="5"/>
        <v>IC IV</v>
      </c>
    </row>
    <row r="192">
      <c r="A192" s="20">
        <f t="shared" si="9"/>
        <v>191</v>
      </c>
      <c r="B192" s="9" t="s">
        <v>258</v>
      </c>
      <c r="C192" s="9" t="s">
        <v>587</v>
      </c>
      <c r="D192" s="21">
        <v>2025.0</v>
      </c>
      <c r="E192" s="21">
        <v>1.0</v>
      </c>
      <c r="F192" s="26" t="s">
        <v>587</v>
      </c>
      <c r="G192" s="9" t="s">
        <v>67</v>
      </c>
      <c r="H192" s="9" t="s">
        <v>493</v>
      </c>
      <c r="I192" s="22">
        <f t="shared" si="4"/>
        <v>1</v>
      </c>
      <c r="J192" s="23" t="b">
        <v>1</v>
      </c>
      <c r="K192" s="23" t="b">
        <v>1</v>
      </c>
      <c r="L192" s="23" t="b">
        <v>1</v>
      </c>
      <c r="M192" s="23" t="b">
        <v>0</v>
      </c>
      <c r="N192" s="23" t="b">
        <v>0</v>
      </c>
      <c r="O192" s="23" t="b">
        <v>0</v>
      </c>
      <c r="P192" s="23" t="b">
        <v>1</v>
      </c>
      <c r="Q192" s="23" t="b">
        <v>0</v>
      </c>
      <c r="R192" s="22"/>
      <c r="T192" s="24" t="str">
        <f t="shared" si="5"/>
        <v>OK</v>
      </c>
    </row>
    <row r="193">
      <c r="A193" s="20">
        <f t="shared" si="9"/>
        <v>192</v>
      </c>
      <c r="B193" s="9" t="s">
        <v>259</v>
      </c>
      <c r="C193" s="9" t="s">
        <v>588</v>
      </c>
      <c r="D193" s="21">
        <v>2024.0</v>
      </c>
      <c r="E193" s="21">
        <v>6.0</v>
      </c>
      <c r="F193" s="9" t="s">
        <v>588</v>
      </c>
      <c r="G193" s="9" t="s">
        <v>67</v>
      </c>
      <c r="H193" s="9" t="s">
        <v>341</v>
      </c>
      <c r="I193" s="22">
        <f t="shared" si="4"/>
        <v>1</v>
      </c>
      <c r="J193" s="23" t="b">
        <v>1</v>
      </c>
      <c r="K193" s="23" t="b">
        <v>1</v>
      </c>
      <c r="L193" s="23" t="b">
        <v>0</v>
      </c>
      <c r="M193" s="23" t="b">
        <v>1</v>
      </c>
      <c r="N193" s="23" t="b">
        <v>0</v>
      </c>
      <c r="O193" s="23" t="b">
        <v>0</v>
      </c>
      <c r="P193" s="9"/>
      <c r="Q193" s="9"/>
      <c r="R193" s="22"/>
      <c r="T193" s="24" t="str">
        <f t="shared" si="5"/>
        <v>IC IV</v>
      </c>
    </row>
    <row r="194">
      <c r="A194" s="20">
        <f t="shared" si="9"/>
        <v>193</v>
      </c>
      <c r="B194" s="9" t="s">
        <v>260</v>
      </c>
      <c r="C194" s="9" t="s">
        <v>589</v>
      </c>
      <c r="D194" s="21">
        <v>2023.0</v>
      </c>
      <c r="E194" s="21">
        <v>11.0</v>
      </c>
      <c r="F194" s="9" t="s">
        <v>589</v>
      </c>
      <c r="G194" s="9" t="s">
        <v>67</v>
      </c>
      <c r="H194" s="9" t="s">
        <v>590</v>
      </c>
      <c r="I194" s="22">
        <f t="shared" si="4"/>
        <v>3</v>
      </c>
      <c r="J194" s="23" t="b">
        <v>1</v>
      </c>
      <c r="K194" s="23" t="b">
        <v>1</v>
      </c>
      <c r="L194" s="23" t="b">
        <v>0</v>
      </c>
      <c r="M194" s="23" t="b">
        <v>1</v>
      </c>
      <c r="N194" s="23" t="b">
        <v>0</v>
      </c>
      <c r="O194" s="23" t="b">
        <v>0</v>
      </c>
      <c r="P194" s="9"/>
      <c r="Q194" s="9"/>
      <c r="R194" s="22"/>
      <c r="T194" s="24" t="str">
        <f t="shared" si="5"/>
        <v>IC IV</v>
      </c>
    </row>
    <row r="195">
      <c r="A195" s="20">
        <f t="shared" si="9"/>
        <v>194</v>
      </c>
      <c r="B195" s="9" t="s">
        <v>261</v>
      </c>
      <c r="C195" s="9" t="s">
        <v>591</v>
      </c>
      <c r="D195" s="21">
        <v>2023.0</v>
      </c>
      <c r="E195" s="21">
        <v>17.0</v>
      </c>
      <c r="F195" s="9" t="s">
        <v>591</v>
      </c>
      <c r="G195" s="9" t="s">
        <v>67</v>
      </c>
      <c r="H195" s="9" t="s">
        <v>296</v>
      </c>
      <c r="I195" s="22">
        <f t="shared" si="4"/>
        <v>1</v>
      </c>
      <c r="J195" s="23" t="b">
        <v>1</v>
      </c>
      <c r="K195" s="23" t="b">
        <v>1</v>
      </c>
      <c r="L195" s="23" t="b">
        <v>0</v>
      </c>
      <c r="M195" s="23" t="b">
        <v>1</v>
      </c>
      <c r="N195" s="23" t="b">
        <v>0</v>
      </c>
      <c r="O195" s="23" t="b">
        <v>0</v>
      </c>
      <c r="P195" s="9"/>
      <c r="Q195" s="9"/>
      <c r="R195" s="22"/>
      <c r="T195" s="24" t="str">
        <f t="shared" si="5"/>
        <v>IC IV</v>
      </c>
    </row>
    <row r="196">
      <c r="A196" s="20">
        <f t="shared" si="9"/>
        <v>195</v>
      </c>
      <c r="B196" s="9" t="s">
        <v>262</v>
      </c>
      <c r="C196" s="9" t="s">
        <v>592</v>
      </c>
      <c r="D196" s="21">
        <v>2023.0</v>
      </c>
      <c r="E196" s="21">
        <v>50.0</v>
      </c>
      <c r="F196" s="9" t="s">
        <v>592</v>
      </c>
      <c r="G196" s="9" t="s">
        <v>67</v>
      </c>
      <c r="H196" s="9" t="s">
        <v>320</v>
      </c>
      <c r="I196" s="22">
        <f t="shared" si="4"/>
        <v>1</v>
      </c>
      <c r="J196" s="23" t="b">
        <v>1</v>
      </c>
      <c r="K196" s="23" t="b">
        <v>1</v>
      </c>
      <c r="L196" s="23" t="b">
        <v>1</v>
      </c>
      <c r="M196" s="23" t="b">
        <v>0</v>
      </c>
      <c r="N196" s="23" t="b">
        <v>0</v>
      </c>
      <c r="O196" s="23" t="b">
        <v>0</v>
      </c>
      <c r="P196" s="23" t="b">
        <v>1</v>
      </c>
      <c r="Q196" s="23" t="b">
        <v>1</v>
      </c>
      <c r="R196" s="22"/>
      <c r="T196" s="24" t="str">
        <f t="shared" si="5"/>
        <v>EC V</v>
      </c>
    </row>
    <row r="197">
      <c r="A197" s="20">
        <f t="shared" si="9"/>
        <v>196</v>
      </c>
      <c r="B197" s="9" t="s">
        <v>263</v>
      </c>
      <c r="C197" s="9" t="s">
        <v>593</v>
      </c>
      <c r="D197" s="21">
        <v>2023.0</v>
      </c>
      <c r="E197" s="21">
        <v>1.0</v>
      </c>
      <c r="F197" s="9" t="s">
        <v>593</v>
      </c>
      <c r="G197" s="9" t="s">
        <v>67</v>
      </c>
      <c r="H197" s="9" t="s">
        <v>296</v>
      </c>
      <c r="I197" s="22">
        <f t="shared" si="4"/>
        <v>1</v>
      </c>
      <c r="J197" s="23" t="b">
        <v>1</v>
      </c>
      <c r="K197" s="23" t="b">
        <v>1</v>
      </c>
      <c r="L197" s="23" t="b">
        <v>1</v>
      </c>
      <c r="M197" s="23" t="b">
        <v>0</v>
      </c>
      <c r="N197" s="23" t="b">
        <v>0</v>
      </c>
      <c r="O197" s="23" t="b">
        <v>0</v>
      </c>
      <c r="P197" s="23" t="b">
        <v>1</v>
      </c>
      <c r="Q197" s="23" t="b">
        <v>1</v>
      </c>
      <c r="R197" s="22"/>
      <c r="T197" s="24" t="str">
        <f t="shared" si="5"/>
        <v>EC V</v>
      </c>
    </row>
    <row r="198">
      <c r="A198" s="20">
        <f t="shared" si="9"/>
        <v>197</v>
      </c>
      <c r="B198" s="9" t="s">
        <v>264</v>
      </c>
      <c r="C198" s="9" t="s">
        <v>594</v>
      </c>
      <c r="D198" s="21">
        <v>2025.0</v>
      </c>
      <c r="E198" s="21">
        <v>1.0</v>
      </c>
      <c r="F198" s="31" t="s">
        <v>594</v>
      </c>
      <c r="G198" s="9" t="s">
        <v>67</v>
      </c>
      <c r="H198" s="9" t="s">
        <v>320</v>
      </c>
      <c r="I198" s="22">
        <f t="shared" si="4"/>
        <v>1</v>
      </c>
      <c r="J198" s="23" t="b">
        <v>1</v>
      </c>
      <c r="K198" s="23" t="b">
        <v>1</v>
      </c>
      <c r="L198" s="23" t="b">
        <v>1</v>
      </c>
      <c r="M198" s="23" t="b">
        <v>0</v>
      </c>
      <c r="N198" s="23" t="b">
        <v>0</v>
      </c>
      <c r="O198" s="23" t="b">
        <v>0</v>
      </c>
      <c r="P198" s="23" t="b">
        <v>1</v>
      </c>
      <c r="Q198" s="23" t="b">
        <v>0</v>
      </c>
      <c r="R198" s="22"/>
      <c r="T198" s="24" t="str">
        <f t="shared" si="5"/>
        <v>OK</v>
      </c>
    </row>
    <row r="199">
      <c r="A199" s="20">
        <f t="shared" si="9"/>
        <v>198</v>
      </c>
      <c r="B199" s="9" t="s">
        <v>265</v>
      </c>
      <c r="C199" s="9" t="s">
        <v>595</v>
      </c>
      <c r="D199" s="21">
        <v>2024.0</v>
      </c>
      <c r="E199" s="21">
        <v>1.0</v>
      </c>
      <c r="F199" s="9" t="s">
        <v>595</v>
      </c>
      <c r="G199" s="9" t="s">
        <v>67</v>
      </c>
      <c r="H199" s="9" t="s">
        <v>493</v>
      </c>
      <c r="I199" s="22">
        <f t="shared" si="4"/>
        <v>1</v>
      </c>
      <c r="J199" s="23" t="b">
        <v>1</v>
      </c>
      <c r="K199" s="23" t="b">
        <v>0</v>
      </c>
      <c r="L199" s="23" t="b">
        <v>0</v>
      </c>
      <c r="M199" s="23" t="b">
        <v>0</v>
      </c>
      <c r="N199" s="23" t="b">
        <v>1</v>
      </c>
      <c r="O199" s="23" t="b">
        <v>0</v>
      </c>
      <c r="P199" s="9"/>
      <c r="Q199" s="9"/>
      <c r="R199" s="22"/>
      <c r="T199" s="24" t="str">
        <f t="shared" si="5"/>
        <v>IC III</v>
      </c>
    </row>
    <row r="200">
      <c r="A200" s="20">
        <f t="shared" si="9"/>
        <v>199</v>
      </c>
      <c r="B200" s="9" t="s">
        <v>266</v>
      </c>
      <c r="C200" s="9" t="s">
        <v>596</v>
      </c>
      <c r="D200" s="21">
        <v>2023.0</v>
      </c>
      <c r="E200" s="21">
        <v>1.0</v>
      </c>
      <c r="F200" s="26" t="s">
        <v>596</v>
      </c>
      <c r="G200" s="9" t="s">
        <v>67</v>
      </c>
      <c r="H200" s="9" t="s">
        <v>323</v>
      </c>
      <c r="I200" s="22">
        <f t="shared" si="4"/>
        <v>1</v>
      </c>
      <c r="J200" s="23" t="b">
        <v>1</v>
      </c>
      <c r="K200" s="23" t="b">
        <v>1</v>
      </c>
      <c r="L200" s="23" t="b">
        <v>1</v>
      </c>
      <c r="M200" s="23" t="b">
        <v>0</v>
      </c>
      <c r="N200" s="23" t="b">
        <v>0</v>
      </c>
      <c r="O200" s="23" t="b">
        <v>0</v>
      </c>
      <c r="P200" s="23" t="b">
        <v>1</v>
      </c>
      <c r="Q200" s="23" t="b">
        <v>0</v>
      </c>
      <c r="R200" s="22"/>
      <c r="T200" s="24" t="str">
        <f t="shared" si="5"/>
        <v>OK</v>
      </c>
    </row>
    <row r="201">
      <c r="A201" s="20">
        <f t="shared" si="9"/>
        <v>200</v>
      </c>
      <c r="B201" s="9" t="s">
        <v>267</v>
      </c>
      <c r="C201" s="9" t="s">
        <v>597</v>
      </c>
      <c r="D201" s="21">
        <v>2024.0</v>
      </c>
      <c r="E201" s="21">
        <v>4.0</v>
      </c>
      <c r="F201" s="26" t="s">
        <v>598</v>
      </c>
      <c r="G201" s="9" t="s">
        <v>67</v>
      </c>
      <c r="H201" s="9" t="s">
        <v>296</v>
      </c>
      <c r="I201" s="22">
        <f t="shared" si="4"/>
        <v>1</v>
      </c>
      <c r="J201" s="23" t="b">
        <v>1</v>
      </c>
      <c r="K201" s="23" t="b">
        <v>1</v>
      </c>
      <c r="L201" s="23" t="b">
        <v>1</v>
      </c>
      <c r="M201" s="23" t="b">
        <v>0</v>
      </c>
      <c r="N201" s="23" t="b">
        <v>0</v>
      </c>
      <c r="O201" s="23" t="b">
        <v>0</v>
      </c>
      <c r="P201" s="23" t="b">
        <v>1</v>
      </c>
      <c r="Q201" s="23" t="b">
        <v>0</v>
      </c>
      <c r="R201" s="22"/>
      <c r="T201" s="24" t="str">
        <f t="shared" si="5"/>
        <v>OK</v>
      </c>
    </row>
    <row r="202">
      <c r="A202" s="9"/>
      <c r="B202" s="9"/>
      <c r="I202" s="22"/>
    </row>
    <row r="203">
      <c r="A203" s="9"/>
      <c r="B203" s="9"/>
      <c r="I203" s="22"/>
    </row>
    <row r="204">
      <c r="A204" s="9"/>
      <c r="B204" s="9"/>
      <c r="I204" s="22"/>
    </row>
    <row r="205">
      <c r="A205" s="9"/>
      <c r="B205" s="9"/>
      <c r="I205" s="22"/>
    </row>
    <row r="206">
      <c r="A206" s="9"/>
      <c r="B206" s="9"/>
      <c r="I206" s="22"/>
    </row>
    <row r="207">
      <c r="A207" s="9"/>
      <c r="B207" s="9"/>
      <c r="I207" s="22"/>
    </row>
    <row r="208">
      <c r="A208" s="9"/>
      <c r="B208" s="9"/>
      <c r="I208" s="22"/>
    </row>
    <row r="209">
      <c r="A209" s="9"/>
      <c r="B209" s="9"/>
      <c r="I209" s="22"/>
    </row>
    <row r="210">
      <c r="A210" s="9"/>
      <c r="B210" s="9"/>
      <c r="I210" s="22"/>
    </row>
    <row r="211">
      <c r="A211" s="9"/>
      <c r="B211" s="9"/>
      <c r="I211" s="22"/>
    </row>
    <row r="212">
      <c r="A212" s="9"/>
      <c r="B212" s="9"/>
      <c r="I212" s="22"/>
    </row>
    <row r="213">
      <c r="A213" s="9"/>
      <c r="B213" s="9"/>
      <c r="I213" s="22"/>
    </row>
    <row r="214">
      <c r="A214" s="9"/>
      <c r="B214" s="9"/>
      <c r="I214" s="22"/>
    </row>
    <row r="215">
      <c r="A215" s="9"/>
      <c r="B215" s="9"/>
      <c r="I215" s="22"/>
    </row>
    <row r="216">
      <c r="A216" s="9"/>
      <c r="B216" s="9"/>
      <c r="I216" s="22"/>
    </row>
    <row r="217">
      <c r="A217" s="9"/>
      <c r="B217" s="9"/>
      <c r="I217" s="22"/>
    </row>
    <row r="218">
      <c r="A218" s="9"/>
      <c r="B218" s="9"/>
      <c r="I218" s="22"/>
    </row>
    <row r="219">
      <c r="A219" s="9"/>
      <c r="B219" s="9"/>
      <c r="I219" s="22"/>
    </row>
    <row r="220">
      <c r="A220" s="9"/>
      <c r="B220" s="9"/>
      <c r="I220" s="22"/>
    </row>
    <row r="221">
      <c r="A221" s="9"/>
      <c r="B221" s="9"/>
      <c r="I221" s="22"/>
    </row>
    <row r="222">
      <c r="A222" s="9"/>
      <c r="B222" s="9"/>
      <c r="I222" s="22"/>
    </row>
    <row r="223">
      <c r="A223" s="9"/>
      <c r="B223" s="9"/>
      <c r="I223" s="22"/>
    </row>
    <row r="224">
      <c r="A224" s="9"/>
      <c r="B224" s="9"/>
      <c r="I224" s="22"/>
    </row>
    <row r="225">
      <c r="A225" s="9"/>
      <c r="B225" s="9"/>
      <c r="I225" s="22"/>
    </row>
    <row r="226">
      <c r="A226" s="9"/>
      <c r="B226" s="9"/>
      <c r="I226" s="22"/>
    </row>
    <row r="227">
      <c r="A227" s="9"/>
      <c r="B227" s="9"/>
      <c r="I227" s="22"/>
    </row>
    <row r="228">
      <c r="A228" s="9"/>
      <c r="B228" s="9"/>
      <c r="I228" s="22"/>
    </row>
    <row r="229">
      <c r="A229" s="9"/>
      <c r="B229" s="9"/>
      <c r="I229" s="22"/>
    </row>
    <row r="230">
      <c r="A230" s="9"/>
      <c r="B230" s="9"/>
      <c r="I230" s="22"/>
    </row>
    <row r="231">
      <c r="A231" s="9"/>
      <c r="B231" s="9"/>
      <c r="I231" s="22"/>
    </row>
    <row r="232">
      <c r="A232" s="9"/>
      <c r="B232" s="9"/>
      <c r="I232" s="22"/>
    </row>
    <row r="233">
      <c r="A233" s="9"/>
      <c r="B233" s="9"/>
      <c r="I233" s="22"/>
    </row>
    <row r="234">
      <c r="A234" s="9"/>
      <c r="B234" s="9"/>
      <c r="I234" s="22"/>
    </row>
    <row r="235">
      <c r="A235" s="9"/>
      <c r="B235" s="9"/>
      <c r="I235" s="22"/>
    </row>
    <row r="236">
      <c r="I236" s="22"/>
    </row>
    <row r="237">
      <c r="I237" s="22"/>
    </row>
    <row r="238">
      <c r="I238" s="22"/>
    </row>
    <row r="239">
      <c r="I239" s="22"/>
    </row>
    <row r="240">
      <c r="I240" s="22"/>
    </row>
    <row r="241">
      <c r="I241" s="22"/>
    </row>
    <row r="242">
      <c r="I242" s="22"/>
    </row>
    <row r="243">
      <c r="I243" s="22"/>
    </row>
    <row r="244">
      <c r="I244" s="22"/>
    </row>
    <row r="245">
      <c r="I245" s="22"/>
    </row>
    <row r="246">
      <c r="I246" s="22"/>
    </row>
    <row r="247">
      <c r="I247" s="22"/>
    </row>
    <row r="248">
      <c r="I248" s="22"/>
    </row>
    <row r="249">
      <c r="I249" s="22"/>
    </row>
    <row r="250">
      <c r="I250" s="22"/>
    </row>
    <row r="251">
      <c r="I251" s="22"/>
    </row>
    <row r="252">
      <c r="I252" s="22"/>
    </row>
    <row r="253">
      <c r="I253" s="22"/>
    </row>
    <row r="254">
      <c r="I254" s="22"/>
    </row>
    <row r="255">
      <c r="I255" s="22"/>
    </row>
    <row r="256">
      <c r="I256" s="22"/>
    </row>
    <row r="257">
      <c r="I257" s="22"/>
    </row>
    <row r="258">
      <c r="I258" s="22"/>
    </row>
    <row r="259">
      <c r="I259" s="22"/>
    </row>
    <row r="260">
      <c r="I260" s="22"/>
    </row>
    <row r="261">
      <c r="I261" s="22"/>
    </row>
    <row r="262">
      <c r="I262" s="22"/>
    </row>
    <row r="263">
      <c r="I263" s="22"/>
    </row>
    <row r="264">
      <c r="I264" s="22"/>
    </row>
    <row r="265">
      <c r="I265" s="22"/>
    </row>
    <row r="266">
      <c r="I266" s="22"/>
    </row>
    <row r="267">
      <c r="I267" s="22"/>
    </row>
    <row r="268">
      <c r="I268" s="22"/>
    </row>
    <row r="269">
      <c r="I269" s="22"/>
    </row>
    <row r="270">
      <c r="I270" s="22"/>
    </row>
    <row r="271">
      <c r="I271" s="22"/>
    </row>
    <row r="272">
      <c r="I272" s="22"/>
    </row>
    <row r="273">
      <c r="I273" s="22"/>
    </row>
    <row r="274">
      <c r="I274" s="22"/>
    </row>
    <row r="275">
      <c r="I275" s="22"/>
    </row>
    <row r="276">
      <c r="I276" s="22"/>
    </row>
    <row r="277">
      <c r="I277" s="22"/>
    </row>
    <row r="278">
      <c r="I278" s="22"/>
    </row>
    <row r="279">
      <c r="I279" s="22"/>
    </row>
    <row r="280">
      <c r="I280" s="22"/>
    </row>
    <row r="281">
      <c r="I281" s="22"/>
    </row>
    <row r="282">
      <c r="I282" s="22"/>
    </row>
    <row r="283">
      <c r="I283" s="22"/>
    </row>
    <row r="284">
      <c r="I284" s="22"/>
    </row>
    <row r="285">
      <c r="I285" s="22"/>
    </row>
    <row r="286">
      <c r="I286" s="22"/>
    </row>
    <row r="287">
      <c r="I287" s="22"/>
    </row>
    <row r="288">
      <c r="I288" s="22"/>
    </row>
    <row r="289">
      <c r="I289" s="22"/>
    </row>
    <row r="290">
      <c r="I290" s="22"/>
    </row>
    <row r="291">
      <c r="I291" s="22"/>
    </row>
    <row r="292">
      <c r="I292" s="22"/>
    </row>
    <row r="293">
      <c r="I293" s="22"/>
    </row>
    <row r="294">
      <c r="I294" s="22"/>
    </row>
    <row r="295">
      <c r="I295" s="22"/>
    </row>
    <row r="296">
      <c r="I296" s="22"/>
    </row>
    <row r="297">
      <c r="I297" s="22"/>
    </row>
    <row r="298">
      <c r="I298" s="22"/>
    </row>
    <row r="299">
      <c r="I299" s="22"/>
    </row>
    <row r="300">
      <c r="I300" s="22"/>
    </row>
    <row r="301">
      <c r="I301" s="22"/>
    </row>
    <row r="302">
      <c r="I302" s="22"/>
    </row>
    <row r="303">
      <c r="I303" s="22"/>
    </row>
    <row r="304">
      <c r="I304" s="22"/>
    </row>
    <row r="305">
      <c r="I305" s="22"/>
    </row>
    <row r="306">
      <c r="I306" s="22"/>
    </row>
    <row r="307">
      <c r="I307" s="22"/>
    </row>
    <row r="308">
      <c r="I308" s="22"/>
    </row>
    <row r="309">
      <c r="I309" s="22"/>
    </row>
    <row r="310">
      <c r="I310" s="22"/>
    </row>
    <row r="311">
      <c r="I311" s="22"/>
    </row>
    <row r="312">
      <c r="I312" s="22"/>
    </row>
    <row r="313">
      <c r="I313" s="22"/>
    </row>
    <row r="314">
      <c r="I314" s="22"/>
    </row>
    <row r="315">
      <c r="I315" s="22"/>
    </row>
    <row r="316">
      <c r="I316" s="22"/>
    </row>
    <row r="317">
      <c r="I317" s="22"/>
    </row>
    <row r="318">
      <c r="I318" s="22"/>
    </row>
    <row r="319">
      <c r="I319" s="22"/>
    </row>
    <row r="320">
      <c r="I320" s="22"/>
    </row>
    <row r="321">
      <c r="I321" s="22"/>
    </row>
    <row r="322">
      <c r="I322" s="22"/>
    </row>
    <row r="323">
      <c r="I323" s="22"/>
    </row>
    <row r="324">
      <c r="I324" s="22"/>
    </row>
    <row r="325">
      <c r="I325" s="22"/>
    </row>
    <row r="326">
      <c r="I326" s="22"/>
    </row>
    <row r="327">
      <c r="I327" s="22"/>
    </row>
    <row r="328">
      <c r="I328" s="22"/>
    </row>
    <row r="329">
      <c r="I329" s="22"/>
    </row>
    <row r="330">
      <c r="I330" s="22"/>
    </row>
    <row r="331">
      <c r="I331" s="22"/>
    </row>
    <row r="332">
      <c r="I332" s="22"/>
    </row>
    <row r="333">
      <c r="I333" s="22"/>
    </row>
    <row r="334">
      <c r="I334" s="22"/>
    </row>
    <row r="335">
      <c r="I335" s="22"/>
    </row>
    <row r="336">
      <c r="I336" s="22"/>
    </row>
    <row r="337">
      <c r="I337" s="22"/>
    </row>
    <row r="338">
      <c r="I338" s="22"/>
    </row>
    <row r="339">
      <c r="I339" s="22"/>
    </row>
    <row r="340">
      <c r="I340" s="22"/>
    </row>
    <row r="341">
      <c r="I341" s="22"/>
    </row>
    <row r="342">
      <c r="I342" s="22"/>
    </row>
    <row r="343">
      <c r="I343" s="22"/>
    </row>
    <row r="344">
      <c r="I344" s="22"/>
    </row>
    <row r="345">
      <c r="I345" s="22"/>
    </row>
    <row r="346">
      <c r="I346" s="22"/>
    </row>
    <row r="347">
      <c r="I347" s="22"/>
    </row>
    <row r="348">
      <c r="I348" s="22"/>
    </row>
    <row r="349">
      <c r="I349" s="22"/>
    </row>
    <row r="350">
      <c r="I350" s="22"/>
    </row>
    <row r="351">
      <c r="I351" s="22"/>
    </row>
    <row r="352">
      <c r="I352" s="22"/>
    </row>
    <row r="353">
      <c r="I353" s="22"/>
    </row>
    <row r="354">
      <c r="I354" s="22"/>
    </row>
    <row r="355">
      <c r="I355" s="22"/>
    </row>
    <row r="356">
      <c r="I356" s="22"/>
    </row>
    <row r="357">
      <c r="I357" s="22"/>
    </row>
    <row r="358">
      <c r="I358" s="22"/>
    </row>
    <row r="359">
      <c r="I359" s="22"/>
    </row>
    <row r="360">
      <c r="I360" s="22"/>
    </row>
    <row r="361">
      <c r="I361" s="22"/>
    </row>
    <row r="362">
      <c r="I362" s="22"/>
    </row>
    <row r="363">
      <c r="I363" s="22"/>
    </row>
    <row r="364">
      <c r="I364" s="22"/>
    </row>
    <row r="365">
      <c r="I365" s="22"/>
    </row>
    <row r="366">
      <c r="I366" s="22"/>
    </row>
    <row r="367">
      <c r="I367" s="22"/>
    </row>
    <row r="368">
      <c r="I368" s="22"/>
    </row>
    <row r="369">
      <c r="I369" s="22"/>
    </row>
    <row r="370">
      <c r="I370" s="22"/>
    </row>
    <row r="371">
      <c r="I371" s="22"/>
    </row>
    <row r="372">
      <c r="I372" s="22"/>
    </row>
    <row r="373">
      <c r="I373" s="22"/>
    </row>
    <row r="374">
      <c r="I374" s="22"/>
    </row>
    <row r="375">
      <c r="I375" s="22"/>
    </row>
    <row r="376">
      <c r="I376" s="22"/>
    </row>
    <row r="377">
      <c r="I377" s="22"/>
    </row>
    <row r="378">
      <c r="I378" s="22"/>
    </row>
    <row r="379">
      <c r="I379" s="22"/>
    </row>
    <row r="380">
      <c r="I380" s="22"/>
    </row>
    <row r="381">
      <c r="I381" s="22"/>
    </row>
    <row r="382">
      <c r="I382" s="22"/>
    </row>
    <row r="383">
      <c r="I383" s="22"/>
    </row>
    <row r="384">
      <c r="I384" s="22"/>
    </row>
    <row r="385">
      <c r="I385" s="22"/>
    </row>
    <row r="386">
      <c r="I386" s="22"/>
    </row>
    <row r="387">
      <c r="I387" s="22"/>
    </row>
    <row r="388">
      <c r="I388" s="22"/>
    </row>
    <row r="389">
      <c r="I389" s="22"/>
    </row>
    <row r="390">
      <c r="I390" s="22"/>
    </row>
    <row r="391">
      <c r="I391" s="22"/>
    </row>
    <row r="392">
      <c r="I392" s="22"/>
    </row>
    <row r="393">
      <c r="I393" s="22"/>
    </row>
    <row r="394">
      <c r="I394" s="22"/>
    </row>
    <row r="395">
      <c r="I395" s="22"/>
    </row>
    <row r="396">
      <c r="I396" s="22"/>
    </row>
    <row r="397">
      <c r="I397" s="22"/>
    </row>
    <row r="398">
      <c r="I398" s="22"/>
    </row>
    <row r="399">
      <c r="I399" s="22"/>
    </row>
    <row r="400">
      <c r="I400" s="22"/>
    </row>
    <row r="401">
      <c r="I401" s="22"/>
    </row>
    <row r="402">
      <c r="I402" s="22"/>
    </row>
    <row r="403">
      <c r="I403" s="22"/>
    </row>
    <row r="404">
      <c r="I404" s="22"/>
    </row>
    <row r="405">
      <c r="I405" s="22"/>
    </row>
    <row r="406">
      <c r="I406" s="22"/>
    </row>
    <row r="407">
      <c r="I407" s="22"/>
    </row>
    <row r="408">
      <c r="I408" s="22"/>
    </row>
    <row r="409">
      <c r="I409" s="22"/>
    </row>
    <row r="410">
      <c r="I410" s="22"/>
    </row>
    <row r="411">
      <c r="I411" s="22"/>
    </row>
    <row r="412">
      <c r="I412" s="22"/>
    </row>
    <row r="413">
      <c r="I413" s="22"/>
    </row>
    <row r="414">
      <c r="I414" s="22"/>
    </row>
    <row r="415">
      <c r="I415" s="22"/>
    </row>
    <row r="416">
      <c r="I416" s="22"/>
    </row>
    <row r="417">
      <c r="I417" s="22"/>
    </row>
    <row r="418">
      <c r="I418" s="22"/>
    </row>
    <row r="419">
      <c r="I419" s="22"/>
    </row>
    <row r="420">
      <c r="I420" s="22"/>
    </row>
    <row r="421">
      <c r="I421" s="22"/>
    </row>
    <row r="422">
      <c r="I422" s="22"/>
    </row>
    <row r="423">
      <c r="I423" s="22"/>
    </row>
    <row r="424">
      <c r="I424" s="22"/>
    </row>
    <row r="425">
      <c r="I425" s="22"/>
    </row>
    <row r="426">
      <c r="I426" s="22"/>
    </row>
    <row r="427">
      <c r="I427" s="22"/>
    </row>
    <row r="428">
      <c r="I428" s="22"/>
    </row>
    <row r="429">
      <c r="I429" s="22"/>
    </row>
    <row r="430">
      <c r="I430" s="22"/>
    </row>
    <row r="431">
      <c r="I431" s="22"/>
    </row>
    <row r="432">
      <c r="I432" s="22"/>
    </row>
    <row r="433">
      <c r="I433" s="22"/>
    </row>
    <row r="434">
      <c r="I434" s="22"/>
    </row>
    <row r="435">
      <c r="I435" s="22"/>
    </row>
    <row r="436">
      <c r="I436" s="22"/>
    </row>
    <row r="437">
      <c r="I437" s="22"/>
    </row>
    <row r="438">
      <c r="I438" s="22"/>
    </row>
    <row r="439">
      <c r="I439" s="22"/>
    </row>
    <row r="440">
      <c r="I440" s="22"/>
    </row>
    <row r="441">
      <c r="I441" s="22"/>
    </row>
    <row r="442">
      <c r="I442" s="22"/>
    </row>
    <row r="443">
      <c r="I443" s="22"/>
    </row>
    <row r="444">
      <c r="I444" s="22"/>
    </row>
    <row r="445">
      <c r="I445" s="22"/>
    </row>
    <row r="446">
      <c r="I446" s="22"/>
    </row>
    <row r="447">
      <c r="I447" s="22"/>
    </row>
    <row r="448">
      <c r="I448" s="22"/>
    </row>
    <row r="449">
      <c r="I449" s="22"/>
    </row>
    <row r="450">
      <c r="I450" s="22"/>
    </row>
    <row r="451">
      <c r="I451" s="22"/>
    </row>
    <row r="452">
      <c r="I452" s="22"/>
    </row>
    <row r="453">
      <c r="I453" s="22"/>
    </row>
    <row r="454">
      <c r="I454" s="22"/>
    </row>
    <row r="455">
      <c r="I455" s="22"/>
    </row>
    <row r="456">
      <c r="I456" s="22"/>
    </row>
    <row r="457">
      <c r="I457" s="22"/>
    </row>
    <row r="458">
      <c r="I458" s="22"/>
    </row>
    <row r="459">
      <c r="I459" s="22"/>
    </row>
    <row r="460">
      <c r="I460" s="22"/>
    </row>
    <row r="461">
      <c r="I461" s="22"/>
    </row>
    <row r="462">
      <c r="I462" s="22"/>
    </row>
    <row r="463">
      <c r="I463" s="22"/>
    </row>
    <row r="464">
      <c r="I464" s="22"/>
    </row>
    <row r="465">
      <c r="I465" s="22"/>
    </row>
    <row r="466">
      <c r="I466" s="22"/>
    </row>
    <row r="467">
      <c r="I467" s="22"/>
    </row>
    <row r="468">
      <c r="I468" s="22"/>
    </row>
    <row r="469">
      <c r="I469" s="22"/>
    </row>
    <row r="470">
      <c r="I470" s="22"/>
    </row>
    <row r="471">
      <c r="I471" s="22"/>
    </row>
    <row r="472">
      <c r="I472" s="22"/>
    </row>
    <row r="473">
      <c r="I473" s="22"/>
    </row>
    <row r="474">
      <c r="I474" s="22"/>
    </row>
    <row r="475">
      <c r="I475" s="22"/>
    </row>
    <row r="476">
      <c r="I476" s="22"/>
    </row>
    <row r="477">
      <c r="I477" s="22"/>
    </row>
    <row r="478">
      <c r="I478" s="22"/>
    </row>
    <row r="479">
      <c r="I479" s="22"/>
    </row>
    <row r="480">
      <c r="I480" s="22"/>
    </row>
    <row r="481">
      <c r="I481" s="22"/>
    </row>
    <row r="482">
      <c r="I482" s="22"/>
    </row>
    <row r="483">
      <c r="I483" s="22"/>
    </row>
    <row r="484">
      <c r="I484" s="22"/>
    </row>
    <row r="485">
      <c r="I485" s="22"/>
    </row>
    <row r="486">
      <c r="I486" s="22"/>
    </row>
    <row r="487">
      <c r="I487" s="22"/>
    </row>
    <row r="488">
      <c r="I488" s="22"/>
    </row>
    <row r="489">
      <c r="I489" s="22"/>
    </row>
    <row r="490">
      <c r="I490" s="22"/>
    </row>
    <row r="491">
      <c r="I491" s="22"/>
    </row>
    <row r="492">
      <c r="I492" s="22"/>
    </row>
    <row r="493">
      <c r="I493" s="22"/>
    </row>
    <row r="494">
      <c r="I494" s="22"/>
    </row>
    <row r="495">
      <c r="I495" s="22"/>
    </row>
    <row r="496">
      <c r="I496" s="22"/>
    </row>
    <row r="497">
      <c r="I497" s="22"/>
    </row>
    <row r="498">
      <c r="I498" s="22"/>
    </row>
    <row r="499">
      <c r="I499" s="22"/>
    </row>
    <row r="500">
      <c r="I500" s="22"/>
    </row>
    <row r="501">
      <c r="I501" s="22"/>
    </row>
    <row r="502">
      <c r="I502" s="22"/>
    </row>
    <row r="503">
      <c r="I503" s="22"/>
    </row>
    <row r="504">
      <c r="I504" s="22"/>
    </row>
    <row r="505">
      <c r="I505" s="22"/>
    </row>
    <row r="506">
      <c r="I506" s="22"/>
    </row>
    <row r="507">
      <c r="I507" s="22"/>
    </row>
    <row r="508">
      <c r="I508" s="22"/>
    </row>
    <row r="509">
      <c r="I509" s="22"/>
    </row>
    <row r="510">
      <c r="I510" s="22"/>
    </row>
    <row r="511">
      <c r="I511" s="22"/>
    </row>
    <row r="512">
      <c r="I512" s="22"/>
    </row>
    <row r="513">
      <c r="I513" s="22"/>
    </row>
    <row r="514">
      <c r="I514" s="22"/>
    </row>
    <row r="515">
      <c r="I515" s="22"/>
    </row>
    <row r="516">
      <c r="I516" s="22"/>
    </row>
    <row r="517">
      <c r="I517" s="22"/>
    </row>
    <row r="518">
      <c r="I518" s="22"/>
    </row>
    <row r="519">
      <c r="I519" s="22"/>
    </row>
    <row r="520">
      <c r="I520" s="22"/>
    </row>
    <row r="521">
      <c r="I521" s="22"/>
    </row>
    <row r="522">
      <c r="I522" s="22"/>
    </row>
    <row r="523">
      <c r="I523" s="22"/>
    </row>
    <row r="524">
      <c r="I524" s="22"/>
    </row>
    <row r="525">
      <c r="I525" s="22"/>
    </row>
    <row r="526">
      <c r="I526" s="22"/>
    </row>
    <row r="527">
      <c r="I527" s="22"/>
    </row>
    <row r="528">
      <c r="I528" s="22"/>
    </row>
    <row r="529">
      <c r="I529" s="22"/>
    </row>
    <row r="530">
      <c r="I530" s="22"/>
    </row>
    <row r="531">
      <c r="I531" s="22"/>
    </row>
    <row r="532">
      <c r="I532" s="22"/>
    </row>
    <row r="533">
      <c r="I533" s="22"/>
    </row>
    <row r="534">
      <c r="I534" s="22"/>
    </row>
    <row r="535">
      <c r="I535" s="22"/>
    </row>
    <row r="536">
      <c r="I536" s="22"/>
    </row>
    <row r="537">
      <c r="I537" s="22"/>
    </row>
    <row r="538">
      <c r="I538" s="22"/>
    </row>
    <row r="539">
      <c r="I539" s="22"/>
    </row>
    <row r="540">
      <c r="I540" s="22"/>
    </row>
    <row r="541">
      <c r="I541" s="22"/>
    </row>
    <row r="542">
      <c r="I542" s="22"/>
    </row>
    <row r="543">
      <c r="I543" s="22"/>
    </row>
    <row r="544">
      <c r="I544" s="22"/>
    </row>
    <row r="545">
      <c r="I545" s="22"/>
    </row>
    <row r="546">
      <c r="I546" s="22"/>
    </row>
    <row r="547">
      <c r="I547" s="22"/>
    </row>
    <row r="548">
      <c r="I548" s="22"/>
    </row>
    <row r="549">
      <c r="I549" s="22"/>
    </row>
    <row r="550">
      <c r="I550" s="22"/>
    </row>
    <row r="551">
      <c r="I551" s="22"/>
    </row>
    <row r="552">
      <c r="I552" s="22"/>
    </row>
    <row r="553">
      <c r="I553" s="22"/>
    </row>
    <row r="554">
      <c r="I554" s="22"/>
    </row>
    <row r="555">
      <c r="I555" s="22"/>
    </row>
    <row r="556">
      <c r="I556" s="22"/>
    </row>
    <row r="557">
      <c r="I557" s="22"/>
    </row>
    <row r="558">
      <c r="I558" s="22"/>
    </row>
    <row r="559">
      <c r="I559" s="22"/>
    </row>
    <row r="560">
      <c r="I560" s="22"/>
    </row>
    <row r="561">
      <c r="I561" s="22"/>
    </row>
    <row r="562">
      <c r="I562" s="22"/>
    </row>
    <row r="563">
      <c r="I563" s="22"/>
    </row>
    <row r="564">
      <c r="I564" s="22"/>
    </row>
    <row r="565">
      <c r="I565" s="22"/>
    </row>
    <row r="566">
      <c r="I566" s="22"/>
    </row>
    <row r="567">
      <c r="I567" s="22"/>
    </row>
    <row r="568">
      <c r="I568" s="22"/>
    </row>
    <row r="569">
      <c r="I569" s="22"/>
    </row>
    <row r="570">
      <c r="I570" s="22"/>
    </row>
    <row r="571">
      <c r="I571" s="22"/>
    </row>
    <row r="572">
      <c r="I572" s="22"/>
    </row>
    <row r="573">
      <c r="I573" s="22"/>
    </row>
    <row r="574">
      <c r="I574" s="22"/>
    </row>
    <row r="575">
      <c r="I575" s="22"/>
    </row>
    <row r="576">
      <c r="I576" s="22"/>
    </row>
    <row r="577">
      <c r="I577" s="22"/>
    </row>
    <row r="578">
      <c r="I578" s="22"/>
    </row>
    <row r="579">
      <c r="I579" s="22"/>
    </row>
    <row r="580">
      <c r="I580" s="22"/>
    </row>
    <row r="581">
      <c r="I581" s="22"/>
    </row>
    <row r="582">
      <c r="I582" s="22"/>
    </row>
    <row r="583">
      <c r="I583" s="22"/>
    </row>
    <row r="584">
      <c r="I584" s="22"/>
    </row>
    <row r="585">
      <c r="I585" s="22"/>
    </row>
    <row r="586">
      <c r="I586" s="22"/>
    </row>
    <row r="587">
      <c r="I587" s="22"/>
    </row>
    <row r="588">
      <c r="I588" s="22"/>
    </row>
    <row r="589">
      <c r="I589" s="22"/>
    </row>
    <row r="590">
      <c r="I590" s="22"/>
    </row>
    <row r="591">
      <c r="I591" s="22"/>
    </row>
    <row r="592">
      <c r="I592" s="22"/>
    </row>
    <row r="593">
      <c r="I593" s="22"/>
    </row>
    <row r="594">
      <c r="I594" s="22"/>
    </row>
    <row r="595">
      <c r="I595" s="22"/>
    </row>
    <row r="596">
      <c r="I596" s="22"/>
    </row>
    <row r="597">
      <c r="I597" s="22"/>
    </row>
    <row r="598">
      <c r="I598" s="22"/>
    </row>
    <row r="599">
      <c r="I599" s="22"/>
    </row>
    <row r="600">
      <c r="I600" s="22"/>
    </row>
    <row r="601">
      <c r="I601" s="22"/>
    </row>
    <row r="602">
      <c r="I602" s="22"/>
    </row>
    <row r="603">
      <c r="I603" s="22"/>
    </row>
    <row r="604">
      <c r="I604" s="22"/>
    </row>
    <row r="605">
      <c r="I605" s="22"/>
    </row>
    <row r="606">
      <c r="I606" s="22"/>
    </row>
    <row r="607">
      <c r="I607" s="22"/>
    </row>
    <row r="608">
      <c r="I608" s="22"/>
    </row>
    <row r="609">
      <c r="I609" s="22"/>
    </row>
    <row r="610">
      <c r="I610" s="22"/>
    </row>
    <row r="611">
      <c r="I611" s="22"/>
    </row>
    <row r="612">
      <c r="I612" s="22"/>
    </row>
    <row r="613">
      <c r="I613" s="22"/>
    </row>
    <row r="614">
      <c r="I614" s="22"/>
    </row>
    <row r="615">
      <c r="I615" s="22"/>
    </row>
    <row r="616">
      <c r="I616" s="22"/>
    </row>
    <row r="617">
      <c r="I617" s="22"/>
    </row>
    <row r="618">
      <c r="I618" s="22"/>
    </row>
    <row r="619">
      <c r="I619" s="22"/>
    </row>
    <row r="620">
      <c r="I620" s="22"/>
    </row>
    <row r="621">
      <c r="I621" s="22"/>
    </row>
    <row r="622">
      <c r="I622" s="22"/>
    </row>
    <row r="623">
      <c r="I623" s="22"/>
    </row>
    <row r="624">
      <c r="I624" s="22"/>
    </row>
    <row r="625">
      <c r="I625" s="22"/>
    </row>
    <row r="626">
      <c r="I626" s="22"/>
    </row>
    <row r="627">
      <c r="I627" s="22"/>
    </row>
    <row r="628">
      <c r="I628" s="22"/>
    </row>
    <row r="629">
      <c r="I629" s="22"/>
    </row>
    <row r="630">
      <c r="I630" s="22"/>
    </row>
    <row r="631">
      <c r="I631" s="22"/>
    </row>
    <row r="632">
      <c r="I632" s="22"/>
    </row>
    <row r="633">
      <c r="I633" s="22"/>
    </row>
    <row r="634">
      <c r="I634" s="22"/>
    </row>
    <row r="635">
      <c r="I635" s="22"/>
    </row>
    <row r="636">
      <c r="I636" s="22"/>
    </row>
    <row r="637">
      <c r="I637" s="22"/>
    </row>
    <row r="638">
      <c r="I638" s="22"/>
    </row>
    <row r="639">
      <c r="I639" s="22"/>
    </row>
    <row r="640">
      <c r="I640" s="22"/>
    </row>
    <row r="641">
      <c r="I641" s="22"/>
    </row>
    <row r="642">
      <c r="I642" s="22"/>
    </row>
    <row r="643">
      <c r="I643" s="22"/>
    </row>
    <row r="644">
      <c r="I644" s="22"/>
    </row>
    <row r="645">
      <c r="I645" s="22"/>
    </row>
    <row r="646">
      <c r="I646" s="22"/>
    </row>
    <row r="647">
      <c r="I647" s="22"/>
    </row>
    <row r="648">
      <c r="I648" s="22"/>
    </row>
    <row r="649">
      <c r="I649" s="22"/>
    </row>
    <row r="650">
      <c r="I650" s="22"/>
    </row>
    <row r="651">
      <c r="I651" s="22"/>
    </row>
    <row r="652">
      <c r="I652" s="22"/>
    </row>
    <row r="653">
      <c r="I653" s="22"/>
    </row>
    <row r="654">
      <c r="I654" s="22"/>
    </row>
    <row r="655">
      <c r="I655" s="22"/>
    </row>
    <row r="656">
      <c r="I656" s="22"/>
    </row>
    <row r="657">
      <c r="I657" s="22"/>
    </row>
    <row r="658">
      <c r="I658" s="22"/>
    </row>
    <row r="659">
      <c r="I659" s="22"/>
    </row>
    <row r="660">
      <c r="I660" s="22"/>
    </row>
    <row r="661">
      <c r="I661" s="22"/>
    </row>
    <row r="662">
      <c r="I662" s="22"/>
    </row>
    <row r="663">
      <c r="I663" s="22"/>
    </row>
    <row r="664">
      <c r="I664" s="22"/>
    </row>
    <row r="665">
      <c r="I665" s="22"/>
    </row>
    <row r="666">
      <c r="I666" s="22"/>
    </row>
    <row r="667">
      <c r="I667" s="22"/>
    </row>
    <row r="668">
      <c r="I668" s="22"/>
    </row>
    <row r="669">
      <c r="I669" s="22"/>
    </row>
    <row r="670">
      <c r="I670" s="22"/>
    </row>
    <row r="671">
      <c r="I671" s="22"/>
    </row>
    <row r="672">
      <c r="I672" s="22"/>
    </row>
    <row r="673">
      <c r="I673" s="22"/>
    </row>
    <row r="674">
      <c r="I674" s="22"/>
    </row>
    <row r="675">
      <c r="I675" s="22"/>
    </row>
    <row r="676">
      <c r="I676" s="22"/>
    </row>
    <row r="677">
      <c r="I677" s="22"/>
    </row>
    <row r="678">
      <c r="I678" s="22"/>
    </row>
    <row r="679">
      <c r="I679" s="22"/>
    </row>
    <row r="680">
      <c r="I680" s="22"/>
    </row>
    <row r="681">
      <c r="I681" s="22"/>
    </row>
    <row r="682">
      <c r="I682" s="22"/>
    </row>
    <row r="683">
      <c r="I683" s="22"/>
    </row>
    <row r="684">
      <c r="I684" s="22"/>
    </row>
    <row r="685">
      <c r="I685" s="22"/>
    </row>
    <row r="686">
      <c r="I686" s="22"/>
    </row>
    <row r="687">
      <c r="I687" s="22"/>
    </row>
    <row r="688">
      <c r="I688" s="22"/>
    </row>
    <row r="689">
      <c r="I689" s="22"/>
    </row>
    <row r="690">
      <c r="I690" s="22"/>
    </row>
    <row r="691">
      <c r="I691" s="22"/>
    </row>
    <row r="692">
      <c r="I692" s="22"/>
    </row>
    <row r="693">
      <c r="I693" s="22"/>
    </row>
    <row r="694">
      <c r="I694" s="22"/>
    </row>
    <row r="695">
      <c r="I695" s="22"/>
    </row>
    <row r="696">
      <c r="I696" s="22"/>
    </row>
    <row r="697">
      <c r="I697" s="22"/>
    </row>
    <row r="698">
      <c r="I698" s="22"/>
    </row>
    <row r="699">
      <c r="I699" s="22"/>
    </row>
    <row r="700">
      <c r="I700" s="22"/>
    </row>
    <row r="701">
      <c r="I701" s="22"/>
    </row>
    <row r="702">
      <c r="I702" s="22"/>
    </row>
    <row r="703">
      <c r="I703" s="22"/>
    </row>
    <row r="704">
      <c r="I704" s="22"/>
    </row>
    <row r="705">
      <c r="I705" s="22"/>
    </row>
    <row r="706">
      <c r="I706" s="22"/>
    </row>
    <row r="707">
      <c r="I707" s="22"/>
    </row>
    <row r="708">
      <c r="I708" s="22"/>
    </row>
    <row r="709">
      <c r="I709" s="22"/>
    </row>
    <row r="710">
      <c r="I710" s="22"/>
    </row>
    <row r="711">
      <c r="I711" s="22"/>
    </row>
    <row r="712">
      <c r="I712" s="22"/>
    </row>
    <row r="713">
      <c r="I713" s="22"/>
    </row>
    <row r="714">
      <c r="I714" s="22"/>
    </row>
    <row r="715">
      <c r="I715" s="22"/>
    </row>
    <row r="716">
      <c r="I716" s="22"/>
    </row>
    <row r="717">
      <c r="I717" s="22"/>
    </row>
    <row r="718">
      <c r="I718" s="22"/>
    </row>
    <row r="719">
      <c r="I719" s="22"/>
    </row>
    <row r="720">
      <c r="I720" s="22"/>
    </row>
    <row r="721">
      <c r="I721" s="22"/>
    </row>
    <row r="722">
      <c r="I722" s="22"/>
    </row>
    <row r="723">
      <c r="I723" s="22"/>
    </row>
    <row r="724">
      <c r="I724" s="22"/>
    </row>
    <row r="725">
      <c r="I725" s="22"/>
    </row>
    <row r="726">
      <c r="I726" s="22"/>
    </row>
    <row r="727">
      <c r="I727" s="22"/>
    </row>
    <row r="728">
      <c r="I728" s="22"/>
    </row>
    <row r="729">
      <c r="I729" s="22"/>
    </row>
    <row r="730">
      <c r="I730" s="22"/>
    </row>
    <row r="731">
      <c r="I731" s="22"/>
    </row>
    <row r="732">
      <c r="I732" s="22"/>
    </row>
    <row r="733">
      <c r="I733" s="22"/>
    </row>
    <row r="734">
      <c r="I734" s="22"/>
    </row>
    <row r="735">
      <c r="I735" s="22"/>
    </row>
    <row r="736">
      <c r="I736" s="22"/>
    </row>
    <row r="737">
      <c r="I737" s="22"/>
    </row>
    <row r="738">
      <c r="I738" s="22"/>
    </row>
    <row r="739">
      <c r="I739" s="22"/>
    </row>
    <row r="740">
      <c r="I740" s="22"/>
    </row>
    <row r="741">
      <c r="I741" s="22"/>
    </row>
    <row r="742">
      <c r="I742" s="22"/>
    </row>
    <row r="743">
      <c r="I743" s="22"/>
    </row>
    <row r="744">
      <c r="I744" s="22"/>
    </row>
    <row r="745">
      <c r="I745" s="22"/>
    </row>
    <row r="746">
      <c r="I746" s="22"/>
    </row>
    <row r="747">
      <c r="I747" s="22"/>
    </row>
    <row r="748">
      <c r="I748" s="22"/>
    </row>
    <row r="749">
      <c r="I749" s="22"/>
    </row>
    <row r="750">
      <c r="I750" s="22"/>
    </row>
    <row r="751">
      <c r="I751" s="22"/>
    </row>
    <row r="752">
      <c r="I752" s="22"/>
    </row>
    <row r="753">
      <c r="I753" s="22"/>
    </row>
    <row r="754">
      <c r="I754" s="22"/>
    </row>
    <row r="755">
      <c r="I755" s="22"/>
    </row>
    <row r="756">
      <c r="I756" s="22"/>
    </row>
    <row r="757">
      <c r="I757" s="22"/>
    </row>
    <row r="758">
      <c r="I758" s="22"/>
    </row>
    <row r="759">
      <c r="I759" s="22"/>
    </row>
    <row r="760">
      <c r="I760" s="22"/>
    </row>
    <row r="761">
      <c r="I761" s="22"/>
    </row>
    <row r="762">
      <c r="I762" s="22"/>
    </row>
    <row r="763">
      <c r="I763" s="22"/>
    </row>
    <row r="764">
      <c r="I764" s="22"/>
    </row>
    <row r="765">
      <c r="I765" s="22"/>
    </row>
    <row r="766">
      <c r="I766" s="22"/>
    </row>
    <row r="767">
      <c r="I767" s="22"/>
    </row>
    <row r="768">
      <c r="I768" s="22"/>
    </row>
    <row r="769">
      <c r="I769" s="22"/>
    </row>
    <row r="770">
      <c r="I770" s="22"/>
    </row>
    <row r="771">
      <c r="I771" s="22"/>
    </row>
    <row r="772">
      <c r="I772" s="22"/>
    </row>
    <row r="773">
      <c r="I773" s="22"/>
    </row>
    <row r="774">
      <c r="I774" s="22"/>
    </row>
    <row r="775">
      <c r="I775" s="22"/>
    </row>
    <row r="776">
      <c r="I776" s="22"/>
    </row>
    <row r="777">
      <c r="I777" s="22"/>
    </row>
    <row r="778">
      <c r="I778" s="22"/>
    </row>
    <row r="779">
      <c r="I779" s="22"/>
    </row>
    <row r="780">
      <c r="I780" s="22"/>
    </row>
    <row r="781">
      <c r="I781" s="22"/>
    </row>
    <row r="782">
      <c r="I782" s="22"/>
    </row>
    <row r="783">
      <c r="I783" s="22"/>
    </row>
    <row r="784">
      <c r="I784" s="22"/>
    </row>
    <row r="785">
      <c r="I785" s="22"/>
    </row>
    <row r="786">
      <c r="I786" s="22"/>
    </row>
    <row r="787">
      <c r="I787" s="22"/>
    </row>
    <row r="788">
      <c r="I788" s="22"/>
    </row>
    <row r="789">
      <c r="I789" s="22"/>
    </row>
    <row r="790">
      <c r="I790" s="22"/>
    </row>
    <row r="791">
      <c r="I791" s="22"/>
    </row>
    <row r="792">
      <c r="I792" s="22"/>
    </row>
    <row r="793">
      <c r="I793" s="22"/>
    </row>
    <row r="794">
      <c r="I794" s="22"/>
    </row>
    <row r="795">
      <c r="I795" s="22"/>
    </row>
    <row r="796">
      <c r="I796" s="22"/>
    </row>
    <row r="797">
      <c r="I797" s="22"/>
    </row>
    <row r="798">
      <c r="I798" s="22"/>
    </row>
    <row r="799">
      <c r="I799" s="22"/>
    </row>
    <row r="800">
      <c r="I800" s="22"/>
    </row>
    <row r="801">
      <c r="I801" s="22"/>
    </row>
    <row r="802">
      <c r="I802" s="22"/>
    </row>
    <row r="803">
      <c r="I803" s="22"/>
    </row>
    <row r="804">
      <c r="I804" s="22"/>
    </row>
    <row r="805">
      <c r="I805" s="22"/>
    </row>
    <row r="806">
      <c r="I806" s="22"/>
    </row>
    <row r="807">
      <c r="I807" s="22"/>
    </row>
    <row r="808">
      <c r="I808" s="22"/>
    </row>
    <row r="809">
      <c r="I809" s="22"/>
    </row>
    <row r="810">
      <c r="I810" s="22"/>
    </row>
    <row r="811">
      <c r="I811" s="22"/>
    </row>
    <row r="812">
      <c r="I812" s="22"/>
    </row>
    <row r="813">
      <c r="I813" s="22"/>
    </row>
    <row r="814">
      <c r="I814" s="22"/>
    </row>
    <row r="815">
      <c r="I815" s="22"/>
    </row>
    <row r="816">
      <c r="I816" s="22"/>
    </row>
    <row r="817">
      <c r="I817" s="22"/>
    </row>
    <row r="818">
      <c r="I818" s="22"/>
    </row>
    <row r="819">
      <c r="I819" s="22"/>
    </row>
    <row r="820">
      <c r="I820" s="22"/>
    </row>
    <row r="821">
      <c r="I821" s="22"/>
    </row>
    <row r="822">
      <c r="I822" s="22"/>
    </row>
    <row r="823">
      <c r="I823" s="22"/>
    </row>
    <row r="824">
      <c r="I824" s="22"/>
    </row>
    <row r="825">
      <c r="I825" s="22"/>
    </row>
    <row r="826">
      <c r="I826" s="22"/>
    </row>
    <row r="827">
      <c r="I827" s="22"/>
    </row>
    <row r="828">
      <c r="I828" s="22"/>
    </row>
    <row r="829">
      <c r="I829" s="22"/>
    </row>
    <row r="830">
      <c r="I830" s="22"/>
    </row>
    <row r="831">
      <c r="I831" s="22"/>
    </row>
    <row r="832">
      <c r="I832" s="22"/>
    </row>
    <row r="833">
      <c r="I833" s="22"/>
    </row>
    <row r="834">
      <c r="I834" s="22"/>
    </row>
    <row r="835">
      <c r="I835" s="22"/>
    </row>
    <row r="836">
      <c r="I836" s="22"/>
    </row>
    <row r="837">
      <c r="I837" s="22"/>
    </row>
    <row r="838">
      <c r="I838" s="22"/>
    </row>
    <row r="839">
      <c r="I839" s="22"/>
    </row>
    <row r="840">
      <c r="I840" s="22"/>
    </row>
    <row r="841">
      <c r="I841" s="22"/>
    </row>
    <row r="842">
      <c r="I842" s="22"/>
    </row>
    <row r="843">
      <c r="I843" s="22"/>
    </row>
    <row r="844">
      <c r="I844" s="22"/>
    </row>
    <row r="845">
      <c r="I845" s="22"/>
    </row>
    <row r="846">
      <c r="I846" s="22"/>
    </row>
    <row r="847">
      <c r="I847" s="22"/>
    </row>
    <row r="848">
      <c r="I848" s="22"/>
    </row>
    <row r="849">
      <c r="I849" s="22"/>
    </row>
    <row r="850">
      <c r="I850" s="22"/>
    </row>
    <row r="851">
      <c r="I851" s="22"/>
    </row>
    <row r="852">
      <c r="I852" s="22"/>
    </row>
    <row r="853">
      <c r="I853" s="22"/>
    </row>
    <row r="854">
      <c r="I854" s="22"/>
    </row>
    <row r="855">
      <c r="I855" s="22"/>
    </row>
    <row r="856">
      <c r="I856" s="22"/>
    </row>
    <row r="857">
      <c r="I857" s="22"/>
    </row>
    <row r="858">
      <c r="I858" s="22"/>
    </row>
    <row r="859">
      <c r="I859" s="22"/>
    </row>
    <row r="860">
      <c r="I860" s="22"/>
    </row>
    <row r="861">
      <c r="I861" s="22"/>
    </row>
    <row r="862">
      <c r="I862" s="22"/>
    </row>
    <row r="863">
      <c r="I863" s="22"/>
    </row>
    <row r="864">
      <c r="I864" s="22"/>
    </row>
    <row r="865">
      <c r="I865" s="22"/>
    </row>
    <row r="866">
      <c r="I866" s="22"/>
    </row>
    <row r="867">
      <c r="I867" s="22"/>
    </row>
    <row r="868">
      <c r="I868" s="22"/>
    </row>
    <row r="869">
      <c r="I869" s="22"/>
    </row>
    <row r="870">
      <c r="I870" s="22"/>
    </row>
    <row r="871">
      <c r="I871" s="22"/>
    </row>
    <row r="872">
      <c r="I872" s="22"/>
    </row>
    <row r="873">
      <c r="I873" s="22"/>
    </row>
    <row r="874">
      <c r="I874" s="22"/>
    </row>
    <row r="875">
      <c r="I875" s="22"/>
    </row>
    <row r="876">
      <c r="I876" s="22"/>
    </row>
    <row r="877">
      <c r="I877" s="22"/>
    </row>
    <row r="878">
      <c r="I878" s="22"/>
    </row>
    <row r="879">
      <c r="I879" s="22"/>
    </row>
    <row r="880">
      <c r="I880" s="22"/>
    </row>
    <row r="881">
      <c r="I881" s="22"/>
    </row>
    <row r="882">
      <c r="I882" s="22"/>
    </row>
    <row r="883">
      <c r="I883" s="22"/>
    </row>
    <row r="884">
      <c r="I884" s="22"/>
    </row>
    <row r="885">
      <c r="I885" s="22"/>
    </row>
    <row r="886">
      <c r="I886" s="22"/>
    </row>
    <row r="887">
      <c r="I887" s="22"/>
    </row>
    <row r="888">
      <c r="I888" s="22"/>
    </row>
    <row r="889">
      <c r="I889" s="22"/>
    </row>
    <row r="890">
      <c r="I890" s="22"/>
    </row>
    <row r="891">
      <c r="I891" s="22"/>
    </row>
    <row r="892">
      <c r="I892" s="22"/>
    </row>
    <row r="893">
      <c r="I893" s="22"/>
    </row>
    <row r="894">
      <c r="I894" s="22"/>
    </row>
    <row r="895">
      <c r="I895" s="22"/>
    </row>
    <row r="896">
      <c r="I896" s="22"/>
    </row>
    <row r="897">
      <c r="I897" s="22"/>
    </row>
    <row r="898">
      <c r="I898" s="22"/>
    </row>
    <row r="899">
      <c r="I899" s="22"/>
    </row>
    <row r="900">
      <c r="I900" s="22"/>
    </row>
    <row r="901">
      <c r="I901" s="22"/>
    </row>
    <row r="902">
      <c r="I902" s="22"/>
    </row>
    <row r="903">
      <c r="I903" s="22"/>
    </row>
    <row r="904">
      <c r="I904" s="22"/>
    </row>
    <row r="905">
      <c r="I905" s="22"/>
    </row>
    <row r="906">
      <c r="I906" s="22"/>
    </row>
    <row r="907">
      <c r="I907" s="22"/>
    </row>
    <row r="908">
      <c r="I908" s="22"/>
    </row>
    <row r="909">
      <c r="I909" s="22"/>
    </row>
    <row r="910">
      <c r="I910" s="22"/>
    </row>
    <row r="911">
      <c r="I911" s="22"/>
    </row>
    <row r="912">
      <c r="I912" s="22"/>
    </row>
    <row r="913">
      <c r="I913" s="22"/>
    </row>
    <row r="914">
      <c r="I914" s="22"/>
    </row>
    <row r="915">
      <c r="I915" s="22"/>
    </row>
    <row r="916">
      <c r="I916" s="22"/>
    </row>
    <row r="917">
      <c r="I917" s="22"/>
    </row>
    <row r="918">
      <c r="I918" s="22"/>
    </row>
    <row r="919">
      <c r="I919" s="22"/>
    </row>
    <row r="920">
      <c r="I920" s="22"/>
    </row>
    <row r="921">
      <c r="I921" s="22"/>
    </row>
    <row r="922">
      <c r="I922" s="22"/>
    </row>
    <row r="923">
      <c r="I923" s="22"/>
    </row>
    <row r="924">
      <c r="I924" s="22"/>
    </row>
    <row r="925">
      <c r="I925" s="22"/>
    </row>
    <row r="926">
      <c r="I926" s="22"/>
    </row>
    <row r="927">
      <c r="I927" s="22"/>
    </row>
    <row r="928">
      <c r="I928" s="22"/>
    </row>
    <row r="929">
      <c r="I929" s="22"/>
    </row>
    <row r="930">
      <c r="I930" s="22"/>
    </row>
    <row r="931">
      <c r="I931" s="22"/>
    </row>
    <row r="932">
      <c r="I932" s="22"/>
    </row>
    <row r="933">
      <c r="I933" s="22"/>
    </row>
    <row r="934">
      <c r="I934" s="22"/>
    </row>
    <row r="935">
      <c r="I935" s="22"/>
    </row>
    <row r="936">
      <c r="I936" s="22"/>
    </row>
    <row r="937">
      <c r="I937" s="22"/>
    </row>
    <row r="938">
      <c r="I938" s="22"/>
    </row>
    <row r="939">
      <c r="I939" s="22"/>
    </row>
    <row r="940">
      <c r="I940" s="22"/>
    </row>
    <row r="941">
      <c r="I941" s="22"/>
    </row>
    <row r="942">
      <c r="I942" s="22"/>
    </row>
    <row r="943">
      <c r="I943" s="22"/>
    </row>
    <row r="944">
      <c r="I944" s="22"/>
    </row>
    <row r="945">
      <c r="I945" s="22"/>
    </row>
    <row r="946">
      <c r="I946" s="22"/>
    </row>
    <row r="947">
      <c r="I947" s="22"/>
    </row>
    <row r="948">
      <c r="I948" s="22"/>
    </row>
    <row r="949">
      <c r="I949" s="22"/>
    </row>
    <row r="950">
      <c r="I950" s="22"/>
    </row>
    <row r="951">
      <c r="I951" s="22"/>
    </row>
    <row r="952">
      <c r="I952" s="22"/>
    </row>
    <row r="953">
      <c r="I953" s="22"/>
    </row>
    <row r="954">
      <c r="I954" s="22"/>
    </row>
    <row r="955">
      <c r="I955" s="22"/>
    </row>
    <row r="956">
      <c r="I956" s="22"/>
    </row>
    <row r="957">
      <c r="I957" s="22"/>
    </row>
    <row r="958">
      <c r="I958" s="22"/>
    </row>
    <row r="959">
      <c r="I959" s="22"/>
    </row>
    <row r="960">
      <c r="I960" s="22"/>
    </row>
    <row r="961">
      <c r="I961" s="22"/>
    </row>
    <row r="962">
      <c r="I962" s="22"/>
    </row>
    <row r="963">
      <c r="I963" s="22"/>
    </row>
    <row r="964">
      <c r="I964" s="22"/>
    </row>
    <row r="965">
      <c r="I965" s="22"/>
    </row>
    <row r="966">
      <c r="I966" s="22"/>
    </row>
    <row r="967">
      <c r="I967" s="22"/>
    </row>
    <row r="968">
      <c r="I968" s="22"/>
    </row>
    <row r="969">
      <c r="I969" s="22"/>
    </row>
    <row r="970">
      <c r="I970" s="22"/>
    </row>
    <row r="971">
      <c r="I971" s="22"/>
    </row>
    <row r="972">
      <c r="I972" s="22"/>
    </row>
    <row r="973">
      <c r="I973" s="22"/>
    </row>
    <row r="974">
      <c r="I974" s="22"/>
    </row>
    <row r="975">
      <c r="I975" s="22"/>
    </row>
    <row r="976">
      <c r="I976" s="22"/>
    </row>
    <row r="977">
      <c r="I977" s="22"/>
    </row>
    <row r="978">
      <c r="I978" s="22"/>
    </row>
    <row r="979">
      <c r="I979" s="22"/>
    </row>
    <row r="980">
      <c r="I980" s="22"/>
    </row>
    <row r="981">
      <c r="I981" s="22"/>
    </row>
    <row r="982">
      <c r="I982" s="22"/>
    </row>
    <row r="983">
      <c r="I983" s="22"/>
    </row>
    <row r="984">
      <c r="I984" s="22"/>
    </row>
    <row r="985">
      <c r="I985" s="22"/>
    </row>
    <row r="986">
      <c r="I986" s="22"/>
    </row>
    <row r="987">
      <c r="I987" s="22"/>
    </row>
    <row r="988">
      <c r="I988" s="22"/>
    </row>
    <row r="989">
      <c r="I989" s="22"/>
    </row>
    <row r="990">
      <c r="I990" s="22"/>
    </row>
    <row r="991">
      <c r="I991" s="22"/>
    </row>
    <row r="992">
      <c r="I992" s="22"/>
    </row>
    <row r="993">
      <c r="I993" s="22"/>
    </row>
    <row r="994">
      <c r="I994" s="22"/>
    </row>
    <row r="995">
      <c r="I995" s="22"/>
    </row>
    <row r="996">
      <c r="I996" s="22"/>
    </row>
    <row r="997">
      <c r="I997" s="22"/>
    </row>
    <row r="998">
      <c r="I998" s="22"/>
    </row>
    <row r="999">
      <c r="I999" s="22"/>
    </row>
    <row r="1000">
      <c r="I1000" s="22"/>
    </row>
  </sheetData>
  <hyperlinks>
    <hyperlink r:id="rId1" ref="F31"/>
    <hyperlink r:id="rId2" ref="F198"/>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3" max="3" width="38.0"/>
    <col customWidth="1" min="4" max="4" width="49.13"/>
  </cols>
  <sheetData>
    <row r="1">
      <c r="A1" s="32" t="s">
        <v>599</v>
      </c>
      <c r="B1" s="32"/>
      <c r="C1" s="32"/>
      <c r="D1" s="32"/>
    </row>
    <row r="2">
      <c r="A2" s="33" t="s">
        <v>600</v>
      </c>
      <c r="B2" s="33"/>
      <c r="C2" s="33"/>
      <c r="D2" s="33"/>
    </row>
    <row r="3">
      <c r="A3" s="33" t="s">
        <v>601</v>
      </c>
      <c r="B3" s="33" t="s">
        <v>602</v>
      </c>
      <c r="C3" s="33" t="s">
        <v>603</v>
      </c>
      <c r="D3" s="33" t="s">
        <v>604</v>
      </c>
      <c r="E3" s="3" t="s">
        <v>605</v>
      </c>
      <c r="F3" s="3" t="s">
        <v>606</v>
      </c>
      <c r="G3" s="3" t="s">
        <v>607</v>
      </c>
      <c r="H3" s="3" t="s">
        <v>608</v>
      </c>
      <c r="I3" s="3" t="s">
        <v>609</v>
      </c>
      <c r="J3" s="3" t="s">
        <v>610</v>
      </c>
      <c r="K3" s="3" t="s">
        <v>611</v>
      </c>
      <c r="L3" s="3" t="s">
        <v>612</v>
      </c>
      <c r="M3" s="3" t="s">
        <v>613</v>
      </c>
      <c r="N3" s="3" t="s">
        <v>614</v>
      </c>
      <c r="O3" s="3" t="s">
        <v>615</v>
      </c>
      <c r="P3" s="3" t="s">
        <v>616</v>
      </c>
      <c r="Q3" s="3" t="s">
        <v>617</v>
      </c>
      <c r="R3" s="3" t="s">
        <v>618</v>
      </c>
      <c r="S3" s="3" t="s">
        <v>619</v>
      </c>
      <c r="T3" s="3" t="s">
        <v>620</v>
      </c>
    </row>
    <row r="4">
      <c r="A4" s="34">
        <v>1.0</v>
      </c>
      <c r="B4" s="35">
        <v>2024.0</v>
      </c>
      <c r="C4" s="36" t="s">
        <v>96</v>
      </c>
      <c r="D4" s="36" t="s">
        <v>67</v>
      </c>
      <c r="E4" s="37" t="str">
        <f>VLOOKUP(C4,'2_Prisma'!B:C,2,0)</f>
        <v>https://dl.acm.org/doi/abs/10.1145/3677525.3678653</v>
      </c>
      <c r="F4" s="3" t="s">
        <v>621</v>
      </c>
      <c r="G4" s="3" t="s">
        <v>622</v>
      </c>
      <c r="H4" s="3" t="s">
        <v>623</v>
      </c>
      <c r="I4" s="3" t="s">
        <v>624</v>
      </c>
      <c r="J4" s="3" t="s">
        <v>625</v>
      </c>
      <c r="K4" s="3" t="s">
        <v>626</v>
      </c>
      <c r="L4" s="3" t="s">
        <v>627</v>
      </c>
      <c r="M4" s="3" t="s">
        <v>628</v>
      </c>
      <c r="N4" s="38" t="s">
        <v>629</v>
      </c>
      <c r="O4" s="3" t="s">
        <v>630</v>
      </c>
      <c r="P4" s="3" t="s">
        <v>631</v>
      </c>
      <c r="Q4" s="38" t="s">
        <v>632</v>
      </c>
      <c r="R4" s="38" t="s">
        <v>633</v>
      </c>
      <c r="S4" s="38" t="s">
        <v>634</v>
      </c>
      <c r="T4" s="39">
        <f>AVERAGE(0.844/0.838,0.587/0.573,0.539/0.536)-1</f>
        <v>0.01239657641</v>
      </c>
    </row>
    <row r="5">
      <c r="A5" s="34">
        <f t="shared" ref="A5:A29" si="1">A4+1</f>
        <v>2</v>
      </c>
      <c r="B5" s="35">
        <v>2023.0</v>
      </c>
      <c r="C5" s="36" t="s">
        <v>123</v>
      </c>
      <c r="D5" s="36" t="s">
        <v>67</v>
      </c>
      <c r="E5" s="37" t="str">
        <f>VLOOKUP(C5,'2_Prisma'!B:C,2,0)</f>
        <v>https://aclanthology.org/2023.acl-long.556/</v>
      </c>
      <c r="F5" s="3" t="s">
        <v>635</v>
      </c>
      <c r="G5" s="3" t="s">
        <v>636</v>
      </c>
      <c r="H5" s="3" t="s">
        <v>637</v>
      </c>
      <c r="I5" s="3" t="s">
        <v>638</v>
      </c>
      <c r="J5" s="3" t="s">
        <v>639</v>
      </c>
      <c r="K5" s="3" t="s">
        <v>640</v>
      </c>
      <c r="L5" s="3" t="s">
        <v>641</v>
      </c>
      <c r="M5" s="3" t="s">
        <v>628</v>
      </c>
      <c r="N5" s="38" t="s">
        <v>642</v>
      </c>
      <c r="O5" s="3" t="s">
        <v>643</v>
      </c>
      <c r="P5" s="3" t="s">
        <v>644</v>
      </c>
      <c r="Q5" s="38" t="s">
        <v>645</v>
      </c>
      <c r="R5" s="38" t="s">
        <v>646</v>
      </c>
      <c r="S5" s="38" t="s">
        <v>647</v>
      </c>
      <c r="T5" s="39">
        <f>AVERAGE(1/(0.54/0.91),1/(1.17/1.91),84.64/76.59)-1</f>
        <v>0.4742563076</v>
      </c>
    </row>
    <row r="6">
      <c r="A6" s="34">
        <f t="shared" si="1"/>
        <v>3</v>
      </c>
      <c r="B6" s="35">
        <v>2023.0</v>
      </c>
      <c r="C6" s="36" t="s">
        <v>134</v>
      </c>
      <c r="D6" s="36" t="s">
        <v>67</v>
      </c>
      <c r="E6" s="37" t="str">
        <f>VLOOKUP(C6,'2_Prisma'!B:C,2,0)</f>
        <v>https://link.springer.com/article/10.1007/s00500-023-09028-5</v>
      </c>
      <c r="F6" s="3" t="s">
        <v>648</v>
      </c>
      <c r="G6" s="3" t="s">
        <v>649</v>
      </c>
      <c r="H6" s="3" t="s">
        <v>650</v>
      </c>
      <c r="I6" s="3" t="s">
        <v>651</v>
      </c>
      <c r="J6" s="3" t="s">
        <v>652</v>
      </c>
      <c r="K6" s="3" t="s">
        <v>653</v>
      </c>
      <c r="L6" s="3" t="s">
        <v>654</v>
      </c>
      <c r="M6" s="3" t="s">
        <v>628</v>
      </c>
      <c r="N6" s="38" t="s">
        <v>655</v>
      </c>
      <c r="O6" s="40" t="s">
        <v>656</v>
      </c>
      <c r="P6" s="3" t="s">
        <v>657</v>
      </c>
      <c r="Q6" s="38" t="s">
        <v>658</v>
      </c>
      <c r="R6" s="38" t="s">
        <v>659</v>
      </c>
      <c r="S6" s="38" t="s">
        <v>660</v>
      </c>
      <c r="T6" s="41">
        <v>0.0</v>
      </c>
    </row>
    <row r="7">
      <c r="A7" s="34">
        <f t="shared" si="1"/>
        <v>4</v>
      </c>
      <c r="B7" s="35">
        <v>2024.0</v>
      </c>
      <c r="C7" s="36" t="s">
        <v>181</v>
      </c>
      <c r="D7" s="36" t="s">
        <v>71</v>
      </c>
      <c r="E7" s="37" t="str">
        <f>VLOOKUP(C7,'2_Prisma'!B:C,2,0)</f>
        <v>https://link.springer.com/article/10.1007/s41060-024-00572-3</v>
      </c>
      <c r="F7" s="3" t="s">
        <v>661</v>
      </c>
      <c r="G7" s="24" t="s">
        <v>71</v>
      </c>
      <c r="H7" s="3" t="s">
        <v>650</v>
      </c>
      <c r="I7" s="3" t="s">
        <v>662</v>
      </c>
      <c r="J7" s="3" t="s">
        <v>663</v>
      </c>
      <c r="K7" s="3" t="s">
        <v>653</v>
      </c>
      <c r="L7" s="3" t="s">
        <v>664</v>
      </c>
      <c r="M7" s="3" t="s">
        <v>628</v>
      </c>
      <c r="N7" s="38" t="s">
        <v>629</v>
      </c>
      <c r="O7" s="40" t="s">
        <v>665</v>
      </c>
      <c r="P7" s="3" t="s">
        <v>666</v>
      </c>
      <c r="Q7" s="38" t="s">
        <v>667</v>
      </c>
      <c r="R7" s="38" t="s">
        <v>668</v>
      </c>
      <c r="S7" s="38" t="s">
        <v>669</v>
      </c>
      <c r="T7" s="39">
        <f>AVERAGE(0.86/0.92)-1</f>
        <v>-0.0652173913</v>
      </c>
      <c r="U7" s="3" t="s">
        <v>670</v>
      </c>
    </row>
    <row r="8">
      <c r="A8" s="34">
        <f t="shared" si="1"/>
        <v>5</v>
      </c>
      <c r="B8" s="35">
        <v>2023.0</v>
      </c>
      <c r="C8" s="9" t="s">
        <v>140</v>
      </c>
      <c r="D8" s="36" t="s">
        <v>67</v>
      </c>
      <c r="E8" s="37" t="str">
        <f>VLOOKUP(C8,'2_Prisma'!B:C,2,0)</f>
        <v>https://www.cambridge.org/core/journals/american-political-science-review/article/embedding-regression-models-for-contextspecific-description-and-inference/4C90013E5C714C8483ED95CC699022FB</v>
      </c>
      <c r="F8" s="3" t="s">
        <v>671</v>
      </c>
      <c r="G8" s="3" t="s">
        <v>672</v>
      </c>
      <c r="H8" s="3" t="s">
        <v>650</v>
      </c>
      <c r="I8" s="3" t="s">
        <v>662</v>
      </c>
      <c r="J8" s="3" t="s">
        <v>673</v>
      </c>
      <c r="K8" s="3" t="s">
        <v>653</v>
      </c>
      <c r="L8" s="3" t="s">
        <v>664</v>
      </c>
      <c r="M8" s="3" t="s">
        <v>674</v>
      </c>
      <c r="N8" s="38" t="s">
        <v>675</v>
      </c>
      <c r="O8" s="3" t="s">
        <v>676</v>
      </c>
      <c r="P8" s="3" t="s">
        <v>677</v>
      </c>
      <c r="Q8" s="38" t="s">
        <v>678</v>
      </c>
      <c r="R8" s="38" t="s">
        <v>679</v>
      </c>
      <c r="S8" s="38" t="s">
        <v>680</v>
      </c>
      <c r="T8" s="41">
        <v>0.0</v>
      </c>
    </row>
    <row r="9">
      <c r="A9" s="34">
        <f t="shared" si="1"/>
        <v>6</v>
      </c>
      <c r="B9" s="35">
        <v>2023.0</v>
      </c>
      <c r="C9" s="36" t="s">
        <v>151</v>
      </c>
      <c r="D9" s="36" t="s">
        <v>67</v>
      </c>
      <c r="E9" s="37" t="str">
        <f>VLOOKUP(C9,'2_Prisma'!B:C,2,0)</f>
        <v>https://ieeexplore.ieee.org/abstract/document/10217726/</v>
      </c>
      <c r="F9" s="3" t="s">
        <v>681</v>
      </c>
      <c r="G9" s="3" t="s">
        <v>682</v>
      </c>
      <c r="H9" s="3" t="s">
        <v>650</v>
      </c>
      <c r="I9" s="3" t="s">
        <v>683</v>
      </c>
      <c r="J9" s="3" t="s">
        <v>684</v>
      </c>
      <c r="K9" s="3" t="s">
        <v>626</v>
      </c>
      <c r="L9" s="3" t="s">
        <v>627</v>
      </c>
      <c r="M9" s="3" t="s">
        <v>674</v>
      </c>
      <c r="N9" s="38" t="s">
        <v>685</v>
      </c>
      <c r="O9" s="40" t="s">
        <v>686</v>
      </c>
      <c r="P9" s="3" t="s">
        <v>687</v>
      </c>
      <c r="Q9" s="38" t="s">
        <v>688</v>
      </c>
      <c r="R9" s="38" t="s">
        <v>689</v>
      </c>
      <c r="S9" s="38" t="s">
        <v>690</v>
      </c>
      <c r="T9" s="41">
        <f>AVERAGE(1/(0.04809249/0.20241),0.978/0.8969,0.9696/0.8404)-1</f>
        <v>1.150974706</v>
      </c>
    </row>
    <row r="10">
      <c r="A10" s="34">
        <f t="shared" si="1"/>
        <v>7</v>
      </c>
      <c r="B10" s="35">
        <v>2025.0</v>
      </c>
      <c r="C10" s="36" t="s">
        <v>162</v>
      </c>
      <c r="D10" s="36" t="s">
        <v>67</v>
      </c>
      <c r="E10" s="37" t="str">
        <f>VLOOKUP(C10,'2_Prisma'!B:C,2,0)</f>
        <v>http://iapress.org/index.php/soic/article/view/2524</v>
      </c>
      <c r="F10" s="3" t="s">
        <v>691</v>
      </c>
      <c r="G10" s="3" t="s">
        <v>692</v>
      </c>
      <c r="H10" s="3" t="s">
        <v>650</v>
      </c>
      <c r="I10" s="3" t="s">
        <v>693</v>
      </c>
      <c r="J10" s="3" t="s">
        <v>694</v>
      </c>
      <c r="K10" s="3" t="s">
        <v>695</v>
      </c>
      <c r="L10" s="3" t="s">
        <v>664</v>
      </c>
      <c r="M10" s="3" t="s">
        <v>628</v>
      </c>
      <c r="N10" s="38" t="s">
        <v>696</v>
      </c>
      <c r="O10" s="40" t="s">
        <v>697</v>
      </c>
      <c r="P10" s="3" t="s">
        <v>698</v>
      </c>
      <c r="Q10" s="38" t="s">
        <v>699</v>
      </c>
      <c r="R10" s="38" t="s">
        <v>700</v>
      </c>
      <c r="S10" s="38" t="s">
        <v>669</v>
      </c>
      <c r="T10" s="39">
        <f>AVERAGE(1/(7.25/11.8))-1</f>
        <v>0.6275862069</v>
      </c>
    </row>
    <row r="11">
      <c r="A11" s="34">
        <f t="shared" si="1"/>
        <v>8</v>
      </c>
      <c r="B11" s="35">
        <v>2025.0</v>
      </c>
      <c r="C11" s="36" t="s">
        <v>237</v>
      </c>
      <c r="D11" s="36" t="s">
        <v>71</v>
      </c>
      <c r="E11" s="37" t="str">
        <f>VLOOKUP(C11,'2_Prisma'!B:C,2,0)</f>
        <v>https://link.springer.com/article/10.1007/s41060-025-00849-1</v>
      </c>
      <c r="F11" s="3" t="s">
        <v>701</v>
      </c>
      <c r="G11" s="24" t="s">
        <v>71</v>
      </c>
      <c r="H11" s="3" t="s">
        <v>702</v>
      </c>
      <c r="I11" s="3" t="s">
        <v>703</v>
      </c>
      <c r="J11" s="3" t="s">
        <v>704</v>
      </c>
      <c r="K11" s="3" t="s">
        <v>653</v>
      </c>
      <c r="L11" s="3" t="s">
        <v>627</v>
      </c>
      <c r="M11" s="3" t="s">
        <v>628</v>
      </c>
      <c r="N11" s="38" t="s">
        <v>705</v>
      </c>
      <c r="O11" s="3" t="s">
        <v>706</v>
      </c>
      <c r="P11" s="3" t="s">
        <v>644</v>
      </c>
      <c r="Q11" s="38" t="s">
        <v>707</v>
      </c>
      <c r="R11" s="38" t="s">
        <v>708</v>
      </c>
      <c r="S11" s="38" t="s">
        <v>709</v>
      </c>
      <c r="T11" s="41">
        <v>0.0</v>
      </c>
      <c r="U11" s="3" t="s">
        <v>710</v>
      </c>
    </row>
    <row r="12">
      <c r="A12" s="34">
        <f t="shared" si="1"/>
        <v>9</v>
      </c>
      <c r="B12" s="35">
        <v>2025.0</v>
      </c>
      <c r="C12" s="36" t="s">
        <v>84</v>
      </c>
      <c r="D12" s="36" t="s">
        <v>71</v>
      </c>
      <c r="E12" s="37" t="str">
        <f>VLOOKUP(C12,'2_Prisma'!B:C,2,0)</f>
        <v>https://link.springer.com/article/10.1007/s41060-025-00932-7</v>
      </c>
      <c r="F12" s="3" t="s">
        <v>711</v>
      </c>
      <c r="G12" s="24" t="s">
        <v>71</v>
      </c>
      <c r="H12" s="3" t="s">
        <v>650</v>
      </c>
      <c r="I12" s="3" t="s">
        <v>651</v>
      </c>
      <c r="J12" s="3" t="s">
        <v>712</v>
      </c>
      <c r="K12" s="3" t="s">
        <v>626</v>
      </c>
      <c r="L12" s="3" t="s">
        <v>713</v>
      </c>
      <c r="M12" s="3" t="s">
        <v>628</v>
      </c>
      <c r="N12" s="38" t="s">
        <v>629</v>
      </c>
      <c r="O12" s="3" t="s">
        <v>714</v>
      </c>
      <c r="P12" s="3" t="s">
        <v>715</v>
      </c>
      <c r="Q12" s="38" t="s">
        <v>716</v>
      </c>
      <c r="R12" s="38" t="s">
        <v>717</v>
      </c>
      <c r="S12" s="38" t="s">
        <v>718</v>
      </c>
      <c r="T12" s="39">
        <f>1/AVERAGE(0.002/0.032,0.004/0.029,0.018/0.035,0.032/0.034,0.022/0.037,0.041/0.043,0.032/0.064,0.029/0.038,0.026/0.044,0.022/0.028,0.023/0.041,0.031/0.048,0.009/0.027,0.01/0.026,0.028/0.043,0.035/0.063)-1</f>
        <v>0.7826834325</v>
      </c>
      <c r="U12" s="3" t="s">
        <v>719</v>
      </c>
    </row>
    <row r="13">
      <c r="A13" s="34">
        <f t="shared" si="1"/>
        <v>10</v>
      </c>
      <c r="B13" s="35">
        <v>2023.0</v>
      </c>
      <c r="C13" s="36" t="s">
        <v>206</v>
      </c>
      <c r="D13" s="36" t="s">
        <v>67</v>
      </c>
      <c r="E13" s="37" t="str">
        <f>VLOOKUP(C13,'2_Prisma'!B:C,2,0)</f>
        <v>https://dl.acm.org/doi/abs/10.1145/3533018</v>
      </c>
      <c r="F13" s="3" t="s">
        <v>671</v>
      </c>
      <c r="G13" s="3" t="s">
        <v>622</v>
      </c>
      <c r="H13" s="3" t="s">
        <v>650</v>
      </c>
      <c r="I13" s="3" t="s">
        <v>651</v>
      </c>
      <c r="J13" s="3" t="s">
        <v>720</v>
      </c>
      <c r="K13" s="3" t="s">
        <v>653</v>
      </c>
      <c r="L13" s="3" t="s">
        <v>627</v>
      </c>
      <c r="M13" s="3" t="s">
        <v>674</v>
      </c>
      <c r="N13" s="38" t="s">
        <v>721</v>
      </c>
      <c r="O13" s="3" t="s">
        <v>722</v>
      </c>
      <c r="P13" s="3" t="s">
        <v>723</v>
      </c>
      <c r="Q13" s="38" t="s">
        <v>724</v>
      </c>
      <c r="R13" s="38" t="s">
        <v>725</v>
      </c>
      <c r="S13" s="38" t="s">
        <v>726</v>
      </c>
    </row>
    <row r="14">
      <c r="A14" s="34">
        <f t="shared" si="1"/>
        <v>11</v>
      </c>
      <c r="B14" s="35">
        <v>2026.0</v>
      </c>
      <c r="C14" s="36" t="s">
        <v>216</v>
      </c>
      <c r="D14" s="36" t="s">
        <v>71</v>
      </c>
      <c r="E14" s="37" t="str">
        <f>VLOOKUP(C14,'2_Prisma'!B:C,2,0)</f>
        <v>https://link.springer.com/article/10.1007/s41060-025-00983-w</v>
      </c>
      <c r="F14" s="3" t="s">
        <v>727</v>
      </c>
      <c r="G14" s="24" t="s">
        <v>71</v>
      </c>
      <c r="H14" s="3" t="s">
        <v>650</v>
      </c>
      <c r="I14" s="3" t="s">
        <v>651</v>
      </c>
      <c r="J14" s="3" t="s">
        <v>712</v>
      </c>
      <c r="K14" s="3" t="s">
        <v>653</v>
      </c>
      <c r="L14" s="3" t="s">
        <v>627</v>
      </c>
      <c r="M14" s="3" t="s">
        <v>674</v>
      </c>
      <c r="N14" s="38" t="s">
        <v>728</v>
      </c>
      <c r="O14" s="3" t="s">
        <v>729</v>
      </c>
      <c r="P14" s="3" t="s">
        <v>730</v>
      </c>
      <c r="Q14" s="38" t="s">
        <v>731</v>
      </c>
      <c r="R14" s="38" t="s">
        <v>732</v>
      </c>
      <c r="S14" s="38" t="s">
        <v>733</v>
      </c>
    </row>
    <row r="15">
      <c r="A15" s="34">
        <f t="shared" si="1"/>
        <v>12</v>
      </c>
      <c r="B15" s="35">
        <v>2023.0</v>
      </c>
      <c r="C15" s="36" t="s">
        <v>208</v>
      </c>
      <c r="D15" s="36" t="s">
        <v>67</v>
      </c>
      <c r="E15" s="37" t="str">
        <f>VLOOKUP(C15,'2_Prisma'!B:C,2,0)</f>
        <v>https://peerj.com/articles/cs-1225/</v>
      </c>
      <c r="F15" s="3" t="s">
        <v>734</v>
      </c>
      <c r="G15" s="3" t="s">
        <v>735</v>
      </c>
      <c r="H15" s="3" t="s">
        <v>736</v>
      </c>
      <c r="I15" s="3" t="s">
        <v>737</v>
      </c>
      <c r="J15" s="3" t="s">
        <v>738</v>
      </c>
      <c r="K15" s="3" t="s">
        <v>640</v>
      </c>
      <c r="L15" s="3" t="s">
        <v>713</v>
      </c>
      <c r="M15" s="3" t="s">
        <v>674</v>
      </c>
      <c r="N15" s="38" t="s">
        <v>685</v>
      </c>
      <c r="O15" s="3" t="s">
        <v>739</v>
      </c>
      <c r="P15" s="3" t="s">
        <v>740</v>
      </c>
      <c r="Q15" s="38" t="s">
        <v>741</v>
      </c>
      <c r="R15" s="38" t="s">
        <v>742</v>
      </c>
      <c r="S15" s="38" t="s">
        <v>743</v>
      </c>
      <c r="T15" s="39">
        <f>AVERAGE(1/(2.464/3.276),1/(1.813/2.596),0.49/0.11,1/(1.812/2.908),1/(890/1.997),0.72/0.3,1/(2.274/3.842),1/(972/2.38),0.56/-0.23,1/(2.355/2.968),1/(1.601/2.27),0.53/0.27,1/(1.75/2.784),1/(915/2.006),0.74/0.36,1/(1.94/2.902),1/(879/2.122),0.68/0.3,1/(2.157/3.031),1/(1.399/2.273),0.61/0.24,1/(1.837/2.914),1/(939/2.004),0.71/0.3,1/(2.423/3.276),1/(1.758/2.445),0.5/0.11,1/(3.54/3.553),1/(2.714/2.75),-0.05/-0.04,1/(1.807/2.912),1/(847/2.059),0.72/0.3)-1</f>
        <v>0.413054332</v>
      </c>
    </row>
    <row r="16">
      <c r="A16" s="34">
        <f t="shared" si="1"/>
        <v>13</v>
      </c>
      <c r="B16" s="35">
        <v>2025.0</v>
      </c>
      <c r="C16" s="36" t="s">
        <v>209</v>
      </c>
      <c r="D16" s="36" t="s">
        <v>67</v>
      </c>
      <c r="E16" s="37" t="str">
        <f>VLOOKUP(C16,'2_Prisma'!B:C,2,0)</f>
        <v>https://arxiv.org/abs/2502.14088</v>
      </c>
      <c r="F16" s="3" t="s">
        <v>744</v>
      </c>
      <c r="G16" s="3" t="s">
        <v>745</v>
      </c>
      <c r="H16" s="3" t="s">
        <v>650</v>
      </c>
      <c r="I16" s="3" t="s">
        <v>746</v>
      </c>
      <c r="J16" s="3" t="s">
        <v>747</v>
      </c>
      <c r="K16" s="3" t="s">
        <v>626</v>
      </c>
      <c r="L16" s="3" t="s">
        <v>664</v>
      </c>
      <c r="M16" s="3" t="s">
        <v>628</v>
      </c>
      <c r="N16" s="38" t="s">
        <v>629</v>
      </c>
      <c r="P16" s="3" t="s">
        <v>748</v>
      </c>
      <c r="Q16" s="38" t="s">
        <v>749</v>
      </c>
      <c r="R16" s="38" t="s">
        <v>750</v>
      </c>
      <c r="S16" s="38" t="s">
        <v>726</v>
      </c>
      <c r="T16" s="41">
        <v>0.0</v>
      </c>
    </row>
    <row r="17">
      <c r="A17" s="34">
        <f t="shared" si="1"/>
        <v>14</v>
      </c>
      <c r="B17" s="35">
        <v>2023.0</v>
      </c>
      <c r="C17" s="36" t="s">
        <v>528</v>
      </c>
      <c r="D17" s="36" t="s">
        <v>67</v>
      </c>
      <c r="E17" s="37" t="str">
        <f>VLOOKUP(C17,'2_Prisma'!B:C,2,0)</f>
        <v>https://link.springer.com/chapter/10.1007/978-3-031-28073-3_18</v>
      </c>
      <c r="F17" s="3" t="s">
        <v>751</v>
      </c>
      <c r="G17" s="3" t="s">
        <v>752</v>
      </c>
      <c r="N17" s="38"/>
      <c r="Q17" s="38"/>
      <c r="R17" s="38"/>
      <c r="S17" s="38"/>
    </row>
    <row r="18">
      <c r="A18" s="34">
        <f t="shared" si="1"/>
        <v>15</v>
      </c>
      <c r="B18" s="35">
        <v>2023.0</v>
      </c>
      <c r="C18" s="36" t="s">
        <v>230</v>
      </c>
      <c r="D18" s="36" t="s">
        <v>67</v>
      </c>
      <c r="E18" s="37" t="str">
        <f>VLOOKUP(C18,'2_Prisma'!B:C,2,0)</f>
        <v>https://onlinelibrary.wiley.com/doi/abs/10.1002/for.2909</v>
      </c>
      <c r="F18" s="3" t="s">
        <v>753</v>
      </c>
      <c r="G18" s="3" t="s">
        <v>754</v>
      </c>
      <c r="H18" s="3" t="s">
        <v>755</v>
      </c>
      <c r="I18" s="3" t="s">
        <v>651</v>
      </c>
      <c r="J18" s="3" t="s">
        <v>756</v>
      </c>
      <c r="K18" s="3" t="s">
        <v>653</v>
      </c>
      <c r="L18" s="3" t="s">
        <v>713</v>
      </c>
      <c r="M18" s="3" t="s">
        <v>674</v>
      </c>
      <c r="N18" s="42" t="s">
        <v>757</v>
      </c>
      <c r="O18" s="3" t="s">
        <v>758</v>
      </c>
      <c r="P18" s="3" t="s">
        <v>759</v>
      </c>
      <c r="Q18" s="38" t="s">
        <v>699</v>
      </c>
      <c r="R18" s="38" t="s">
        <v>760</v>
      </c>
      <c r="S18" s="38" t="s">
        <v>761</v>
      </c>
      <c r="T18" s="39">
        <f>AVERAGE(1/(0.008/0.01),1/(0.094/0.102),1/(0.068/0.084),1/(5.891/8.716),1/(6.141/9.875),1/(0.058/0.059))-1</f>
        <v>0.2792052069</v>
      </c>
      <c r="U18" s="3" t="s">
        <v>762</v>
      </c>
    </row>
    <row r="19">
      <c r="A19" s="34">
        <f t="shared" si="1"/>
        <v>16</v>
      </c>
      <c r="B19" s="35">
        <v>2025.0</v>
      </c>
      <c r="C19" s="36" t="s">
        <v>220</v>
      </c>
      <c r="D19" s="36" t="s">
        <v>67</v>
      </c>
      <c r="E19" s="37" t="str">
        <f>VLOOKUP(C19,'2_Prisma'!B:C,2,0)</f>
        <v>https://www.icck.org/article/tetai/193/143</v>
      </c>
      <c r="F19" s="3" t="s">
        <v>671</v>
      </c>
      <c r="G19" s="3" t="s">
        <v>763</v>
      </c>
      <c r="H19" s="3" t="s">
        <v>755</v>
      </c>
      <c r="I19" s="3" t="s">
        <v>764</v>
      </c>
      <c r="J19" s="3" t="s">
        <v>765</v>
      </c>
      <c r="K19" s="3" t="s">
        <v>653</v>
      </c>
      <c r="L19" s="3" t="s">
        <v>664</v>
      </c>
      <c r="M19" s="3" t="s">
        <v>674</v>
      </c>
      <c r="N19" s="38" t="s">
        <v>757</v>
      </c>
      <c r="O19" s="3" t="s">
        <v>766</v>
      </c>
      <c r="P19" s="3" t="s">
        <v>767</v>
      </c>
      <c r="Q19" s="38" t="s">
        <v>768</v>
      </c>
      <c r="R19" s="38" t="s">
        <v>769</v>
      </c>
      <c r="S19" s="38" t="s">
        <v>718</v>
      </c>
      <c r="T19" s="39">
        <f>AVERAGE(1/(6/8),1/(146/220),82/79)-1</f>
        <v>0.2927191106</v>
      </c>
    </row>
    <row r="20">
      <c r="A20" s="34">
        <f t="shared" si="1"/>
        <v>17</v>
      </c>
      <c r="B20" s="35">
        <v>2024.0</v>
      </c>
      <c r="C20" s="36" t="s">
        <v>227</v>
      </c>
      <c r="D20" s="36" t="s">
        <v>67</v>
      </c>
      <c r="E20" s="37" t="str">
        <f>VLOOKUP(C20,'2_Prisma'!B:C,2,0)</f>
        <v>https://ieeexplore.ieee.org/abstract/document/10640097/</v>
      </c>
      <c r="F20" s="3" t="s">
        <v>770</v>
      </c>
      <c r="G20" s="3" t="s">
        <v>771</v>
      </c>
      <c r="H20" s="3" t="s">
        <v>772</v>
      </c>
      <c r="I20" s="3" t="s">
        <v>773</v>
      </c>
      <c r="J20" s="3" t="s">
        <v>774</v>
      </c>
      <c r="K20" s="3" t="s">
        <v>640</v>
      </c>
      <c r="L20" s="3" t="s">
        <v>713</v>
      </c>
      <c r="M20" s="3" t="s">
        <v>775</v>
      </c>
      <c r="N20" s="38" t="s">
        <v>675</v>
      </c>
      <c r="O20" s="3" t="s">
        <v>776</v>
      </c>
      <c r="P20" s="3" t="s">
        <v>698</v>
      </c>
      <c r="Q20" s="38" t="s">
        <v>777</v>
      </c>
      <c r="R20" s="38" t="s">
        <v>760</v>
      </c>
      <c r="S20" s="38" t="s">
        <v>778</v>
      </c>
      <c r="T20" s="41">
        <v>0.0</v>
      </c>
    </row>
    <row r="21">
      <c r="A21" s="34">
        <f t="shared" si="1"/>
        <v>18</v>
      </c>
      <c r="B21" s="35">
        <v>2023.0</v>
      </c>
      <c r="C21" s="36" t="s">
        <v>177</v>
      </c>
      <c r="D21" s="36" t="s">
        <v>67</v>
      </c>
      <c r="E21" s="37" t="str">
        <f>VLOOKUP(C21,'2_Prisma'!B:C,2,0)</f>
        <v>https://onlinelibrary.wiley.com/doi/abs/10.1111/exsy.13368</v>
      </c>
      <c r="F21" s="3" t="s">
        <v>753</v>
      </c>
      <c r="G21" s="3" t="s">
        <v>779</v>
      </c>
      <c r="H21" s="3" t="s">
        <v>755</v>
      </c>
      <c r="I21" s="3" t="s">
        <v>651</v>
      </c>
      <c r="J21" s="3" t="s">
        <v>780</v>
      </c>
      <c r="K21" s="3" t="s">
        <v>626</v>
      </c>
      <c r="L21" s="3" t="s">
        <v>713</v>
      </c>
      <c r="M21" s="3" t="s">
        <v>628</v>
      </c>
      <c r="N21" s="38" t="s">
        <v>655</v>
      </c>
      <c r="O21" s="3" t="s">
        <v>781</v>
      </c>
      <c r="P21" s="3" t="s">
        <v>782</v>
      </c>
      <c r="Q21" s="38" t="s">
        <v>783</v>
      </c>
      <c r="R21" s="38" t="s">
        <v>784</v>
      </c>
      <c r="S21" s="38" t="s">
        <v>761</v>
      </c>
      <c r="T21" s="39">
        <f>AVERAGE(1/(1.4736/1.64),0.764/0.6843)-1</f>
        <v>0.1146950616</v>
      </c>
    </row>
    <row r="22">
      <c r="A22" s="34">
        <f t="shared" si="1"/>
        <v>19</v>
      </c>
      <c r="B22" s="35">
        <v>2024.0</v>
      </c>
      <c r="C22" s="36" t="s">
        <v>232</v>
      </c>
      <c r="D22" s="36" t="s">
        <v>67</v>
      </c>
      <c r="E22" s="37" t="str">
        <f>VLOOKUP(C22,'2_Prisma'!B:C,2,0)</f>
        <v>https://www.tandfonline.com/doi/abs/10.1080/07421222.2023.2301176</v>
      </c>
      <c r="F22" s="3" t="s">
        <v>785</v>
      </c>
      <c r="G22" s="3" t="s">
        <v>786</v>
      </c>
      <c r="H22" s="3" t="s">
        <v>650</v>
      </c>
      <c r="I22" s="3" t="s">
        <v>651</v>
      </c>
      <c r="J22" s="3" t="s">
        <v>787</v>
      </c>
      <c r="K22" s="3" t="s">
        <v>695</v>
      </c>
      <c r="L22" s="3" t="s">
        <v>664</v>
      </c>
      <c r="M22" s="3" t="s">
        <v>788</v>
      </c>
      <c r="N22" s="38" t="s">
        <v>675</v>
      </c>
      <c r="O22" s="3" t="s">
        <v>789</v>
      </c>
      <c r="P22" s="3" t="s">
        <v>790</v>
      </c>
      <c r="Q22" s="38" t="s">
        <v>791</v>
      </c>
      <c r="R22" s="38" t="s">
        <v>792</v>
      </c>
      <c r="S22" s="38" t="s">
        <v>680</v>
      </c>
    </row>
    <row r="23">
      <c r="A23" s="34">
        <f t="shared" si="1"/>
        <v>20</v>
      </c>
      <c r="B23" s="35">
        <v>2024.0</v>
      </c>
      <c r="C23" s="36" t="s">
        <v>213</v>
      </c>
      <c r="D23" s="36" t="s">
        <v>67</v>
      </c>
      <c r="E23" s="37" t="str">
        <f>VLOOKUP(C23,'2_Prisma'!B:C,2,0)</f>
        <v>https://www.tandfonline.com/doi/abs/10.1080/03081079.2023.2294132</v>
      </c>
      <c r="F23" s="3" t="s">
        <v>753</v>
      </c>
      <c r="G23" s="3" t="s">
        <v>793</v>
      </c>
      <c r="N23" s="38"/>
      <c r="Q23" s="38"/>
      <c r="R23" s="38"/>
      <c r="S23" s="38"/>
    </row>
    <row r="24">
      <c r="A24" s="34">
        <f t="shared" si="1"/>
        <v>21</v>
      </c>
      <c r="B24" s="35">
        <v>2024.0</v>
      </c>
      <c r="C24" s="36" t="s">
        <v>248</v>
      </c>
      <c r="D24" s="36" t="s">
        <v>67</v>
      </c>
      <c r="E24" s="37" t="str">
        <f>VLOOKUP(C24,'2_Prisma'!B:C,2,0)</f>
        <v>https://www.mdpi.com/2076-3417/14/16/7305</v>
      </c>
      <c r="F24" s="3" t="s">
        <v>794</v>
      </c>
      <c r="G24" s="3" t="s">
        <v>795</v>
      </c>
      <c r="H24" s="3" t="s">
        <v>650</v>
      </c>
      <c r="I24" s="3" t="s">
        <v>796</v>
      </c>
      <c r="J24" s="3" t="s">
        <v>797</v>
      </c>
      <c r="K24" s="3" t="s">
        <v>626</v>
      </c>
      <c r="L24" s="3" t="s">
        <v>798</v>
      </c>
      <c r="M24" s="3" t="s">
        <v>674</v>
      </c>
      <c r="N24" s="42" t="s">
        <v>799</v>
      </c>
      <c r="O24" s="3" t="s">
        <v>800</v>
      </c>
      <c r="P24" s="3" t="s">
        <v>801</v>
      </c>
      <c r="Q24" s="42" t="s">
        <v>658</v>
      </c>
      <c r="R24" s="38" t="s">
        <v>802</v>
      </c>
      <c r="S24" s="38" t="s">
        <v>803</v>
      </c>
      <c r="T24" s="41">
        <v>0.12</v>
      </c>
      <c r="U24" s="3" t="s">
        <v>804</v>
      </c>
    </row>
    <row r="25">
      <c r="A25" s="34">
        <f t="shared" si="1"/>
        <v>22</v>
      </c>
      <c r="B25" s="35">
        <v>2023.0</v>
      </c>
      <c r="C25" s="36" t="s">
        <v>251</v>
      </c>
      <c r="D25" s="36" t="s">
        <v>67</v>
      </c>
      <c r="E25" s="37" t="str">
        <f>VLOOKUP(C25,'2_Prisma'!B:C,2,0)</f>
        <v>https://www.mdpi.com/2227-7390/11/19/4104</v>
      </c>
      <c r="F25" s="3" t="s">
        <v>805</v>
      </c>
      <c r="G25" s="3" t="s">
        <v>806</v>
      </c>
      <c r="H25" s="3" t="s">
        <v>650</v>
      </c>
      <c r="I25" s="3" t="s">
        <v>624</v>
      </c>
      <c r="J25" s="3" t="s">
        <v>807</v>
      </c>
      <c r="K25" s="3" t="s">
        <v>653</v>
      </c>
      <c r="L25" s="3" t="s">
        <v>808</v>
      </c>
      <c r="M25" s="3" t="s">
        <v>628</v>
      </c>
      <c r="N25" s="38" t="s">
        <v>685</v>
      </c>
      <c r="O25" s="3" t="s">
        <v>809</v>
      </c>
      <c r="P25" s="3" t="s">
        <v>698</v>
      </c>
      <c r="Q25" s="38" t="s">
        <v>810</v>
      </c>
      <c r="R25" s="38" t="s">
        <v>811</v>
      </c>
      <c r="S25" s="38" t="s">
        <v>669</v>
      </c>
      <c r="T25" s="39">
        <f>AVERAGE(1/(0.694/1.004))-1</f>
        <v>0.446685879</v>
      </c>
      <c r="U25" s="3" t="s">
        <v>812</v>
      </c>
    </row>
    <row r="26">
      <c r="A26" s="34">
        <f t="shared" si="1"/>
        <v>23</v>
      </c>
      <c r="B26" s="35">
        <v>2025.0</v>
      </c>
      <c r="C26" s="36" t="s">
        <v>258</v>
      </c>
      <c r="D26" s="36" t="s">
        <v>67</v>
      </c>
      <c r="E26" s="37" t="str">
        <f>VLOOKUP(C26,'2_Prisma'!B:C,2,0)</f>
        <v>https://pmc.ncbi.nlm.nih.gov/articles/PMC12047991/</v>
      </c>
      <c r="F26" s="3" t="s">
        <v>671</v>
      </c>
      <c r="G26" s="3" t="s">
        <v>813</v>
      </c>
      <c r="H26" s="3" t="s">
        <v>650</v>
      </c>
      <c r="I26" s="3" t="s">
        <v>624</v>
      </c>
      <c r="J26" s="3" t="s">
        <v>814</v>
      </c>
      <c r="K26" s="3" t="s">
        <v>653</v>
      </c>
      <c r="L26" s="3" t="s">
        <v>713</v>
      </c>
      <c r="M26" s="3" t="s">
        <v>674</v>
      </c>
      <c r="N26" s="38" t="s">
        <v>642</v>
      </c>
      <c r="O26" s="3" t="s">
        <v>815</v>
      </c>
      <c r="P26" s="3" t="s">
        <v>816</v>
      </c>
      <c r="Q26" s="38" t="s">
        <v>658</v>
      </c>
      <c r="R26" s="38" t="s">
        <v>817</v>
      </c>
      <c r="S26" s="38" t="s">
        <v>818</v>
      </c>
      <c r="T26" s="39">
        <f>AVERAGE(0.38/0.17,0.33/0.14,0.2/0.13,0.24/0.11,0.1/0.11,0.1/0.09,0.09/0.07,0.06/0.07,0.1/0.1,0.1/0.1,0.06/0.07,0.08/0.09,1/(0.55/0.64),1/(0.75/0.85),1/(0.69/0.72),1/(0.85/0.92),1/(0.52/0.61),1/(0.73/0.82),1/(0.63/0.88),1/(0.81/0.88),1/(0.47/0.48),1/(0.68/0.69),1/(0.64/0.66),1/(0.75/0.76))-1</f>
        <v>0.2293660025</v>
      </c>
      <c r="U26" s="3" t="s">
        <v>819</v>
      </c>
    </row>
    <row r="27">
      <c r="A27" s="34">
        <f t="shared" si="1"/>
        <v>24</v>
      </c>
      <c r="B27" s="35">
        <v>2025.0</v>
      </c>
      <c r="C27" s="36" t="s">
        <v>264</v>
      </c>
      <c r="D27" s="36" t="s">
        <v>67</v>
      </c>
      <c r="E27" s="37" t="str">
        <f>VLOOKUP(C27,'2_Prisma'!B:C,2,0)</f>
        <v>https://assets.pubpub.org/p41eo02p/119-01746737674155.pdf</v>
      </c>
      <c r="F27" s="3" t="s">
        <v>820</v>
      </c>
      <c r="G27" s="3" t="s">
        <v>821</v>
      </c>
      <c r="H27" s="3" t="s">
        <v>650</v>
      </c>
      <c r="I27" s="3" t="s">
        <v>651</v>
      </c>
      <c r="J27" s="3" t="s">
        <v>712</v>
      </c>
      <c r="K27" s="3" t="s">
        <v>626</v>
      </c>
      <c r="L27" s="3" t="s">
        <v>822</v>
      </c>
      <c r="M27" s="3" t="s">
        <v>674</v>
      </c>
      <c r="N27" s="38" t="s">
        <v>823</v>
      </c>
      <c r="O27" s="3" t="s">
        <v>824</v>
      </c>
      <c r="P27" s="3" t="s">
        <v>723</v>
      </c>
      <c r="Q27" s="38" t="s">
        <v>825</v>
      </c>
      <c r="R27" s="38" t="s">
        <v>826</v>
      </c>
      <c r="S27" s="38" t="s">
        <v>718</v>
      </c>
      <c r="T27" s="39">
        <f>1/AVERAGE(1.058/1.145,1.072/1.161,0.866/0.866,3.273/3.367)-1</f>
        <v>0.0472735659</v>
      </c>
      <c r="U27" s="3" t="s">
        <v>827</v>
      </c>
    </row>
    <row r="28">
      <c r="A28" s="34">
        <f t="shared" si="1"/>
        <v>25</v>
      </c>
      <c r="B28" s="35">
        <v>2023.0</v>
      </c>
      <c r="C28" s="36" t="s">
        <v>266</v>
      </c>
      <c r="D28" s="36" t="s">
        <v>67</v>
      </c>
      <c r="E28" s="37" t="str">
        <f>VLOOKUP(C28,'2_Prisma'!B:C,2,0)</f>
        <v>http://www.icicel.org/ell/contents/2023/3/el-17-03-01.pdf</v>
      </c>
      <c r="F28" s="3" t="s">
        <v>828</v>
      </c>
      <c r="G28" s="3" t="s">
        <v>829</v>
      </c>
      <c r="H28" s="3" t="s">
        <v>650</v>
      </c>
      <c r="I28" s="3" t="s">
        <v>830</v>
      </c>
      <c r="J28" s="3" t="s">
        <v>831</v>
      </c>
      <c r="K28" s="3" t="s">
        <v>695</v>
      </c>
      <c r="L28" s="3" t="s">
        <v>664</v>
      </c>
      <c r="M28" s="3" t="s">
        <v>674</v>
      </c>
      <c r="N28" s="38" t="s">
        <v>832</v>
      </c>
      <c r="O28" s="3" t="s">
        <v>833</v>
      </c>
      <c r="P28" s="3" t="s">
        <v>834</v>
      </c>
      <c r="Q28" s="38" t="s">
        <v>658</v>
      </c>
      <c r="R28" s="38" t="s">
        <v>835</v>
      </c>
      <c r="S28" s="38" t="s">
        <v>718</v>
      </c>
      <c r="T28" s="41">
        <v>0.0</v>
      </c>
      <c r="U28" s="3" t="s">
        <v>836</v>
      </c>
    </row>
    <row r="29">
      <c r="A29" s="34">
        <f t="shared" si="1"/>
        <v>26</v>
      </c>
      <c r="B29" s="35">
        <v>2024.0</v>
      </c>
      <c r="C29" s="36" t="s">
        <v>267</v>
      </c>
      <c r="D29" s="36" t="s">
        <v>67</v>
      </c>
      <c r="E29" s="37" t="str">
        <f>VLOOKUP(C29,'2_Prisma'!B:C,2,0)</f>
        <v>https://aclanthology.org/2024.semeval-1.65/</v>
      </c>
      <c r="F29" s="3" t="s">
        <v>837</v>
      </c>
      <c r="G29" s="3" t="s">
        <v>636</v>
      </c>
      <c r="H29" s="3" t="s">
        <v>838</v>
      </c>
      <c r="I29" s="3" t="s">
        <v>683</v>
      </c>
      <c r="J29" s="3" t="s">
        <v>839</v>
      </c>
      <c r="K29" s="3" t="s">
        <v>653</v>
      </c>
      <c r="L29" s="3" t="s">
        <v>627</v>
      </c>
      <c r="M29" s="3" t="s">
        <v>674</v>
      </c>
      <c r="N29" s="38" t="s">
        <v>685</v>
      </c>
      <c r="O29" s="3" t="s">
        <v>840</v>
      </c>
      <c r="P29" s="3" t="s">
        <v>841</v>
      </c>
      <c r="Q29" s="38" t="s">
        <v>658</v>
      </c>
      <c r="R29" s="38" t="s">
        <v>842</v>
      </c>
      <c r="S29" s="38" t="s">
        <v>778</v>
      </c>
      <c r="T29" s="41">
        <v>0.0</v>
      </c>
      <c r="U29" s="3" t="s">
        <v>836</v>
      </c>
    </row>
    <row r="30">
      <c r="N30" s="38"/>
      <c r="Q30" s="38"/>
      <c r="R30"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0"/>
    <col customWidth="1" min="4" max="4" width="49.13"/>
  </cols>
  <sheetData>
    <row r="1">
      <c r="A1" s="32" t="s">
        <v>599</v>
      </c>
    </row>
    <row r="2">
      <c r="A2" s="33" t="s">
        <v>600</v>
      </c>
    </row>
    <row r="3">
      <c r="A3" s="33" t="s">
        <v>601</v>
      </c>
      <c r="B3" s="33" t="s">
        <v>602</v>
      </c>
      <c r="C3" s="33" t="s">
        <v>603</v>
      </c>
      <c r="D3" s="33" t="s">
        <v>604</v>
      </c>
      <c r="E3" s="3" t="s">
        <v>605</v>
      </c>
      <c r="F3" s="3" t="s">
        <v>843</v>
      </c>
    </row>
    <row r="4">
      <c r="A4" s="34">
        <v>1.0</v>
      </c>
      <c r="B4" s="35">
        <v>2024.0</v>
      </c>
      <c r="C4" s="36" t="s">
        <v>96</v>
      </c>
      <c r="D4" s="36" t="s">
        <v>67</v>
      </c>
      <c r="E4" s="37" t="str">
        <f>VLOOKUP(C4,'2_Prisma'!B:C,2,0)</f>
        <v>https://dl.acm.org/doi/abs/10.1145/3677525.3678653</v>
      </c>
      <c r="F4" s="3" t="s">
        <v>844</v>
      </c>
    </row>
    <row r="5">
      <c r="A5" s="34">
        <f t="shared" ref="A5:A29" si="1">A4+1</f>
        <v>2</v>
      </c>
      <c r="B5" s="35">
        <v>2023.0</v>
      </c>
      <c r="C5" s="36" t="s">
        <v>123</v>
      </c>
      <c r="D5" s="36" t="s">
        <v>67</v>
      </c>
      <c r="E5" s="37" t="str">
        <f>VLOOKUP(C5,'2_Prisma'!B:C,2,0)</f>
        <v>https://aclanthology.org/2023.acl-long.556/</v>
      </c>
      <c r="F5" s="3" t="s">
        <v>845</v>
      </c>
    </row>
    <row r="6">
      <c r="A6" s="34">
        <f t="shared" si="1"/>
        <v>3</v>
      </c>
      <c r="B6" s="35">
        <v>2023.0</v>
      </c>
      <c r="C6" s="36" t="s">
        <v>134</v>
      </c>
      <c r="D6" s="36" t="s">
        <v>67</v>
      </c>
      <c r="E6" s="37" t="str">
        <f>VLOOKUP(C6,'2_Prisma'!B:C,2,0)</f>
        <v>https://link.springer.com/article/10.1007/s00500-023-09028-5</v>
      </c>
      <c r="F6" s="3" t="s">
        <v>846</v>
      </c>
    </row>
    <row r="7">
      <c r="A7" s="34">
        <f t="shared" si="1"/>
        <v>4</v>
      </c>
      <c r="B7" s="35">
        <v>2024.0</v>
      </c>
      <c r="C7" s="36" t="s">
        <v>181</v>
      </c>
      <c r="D7" s="36" t="s">
        <v>71</v>
      </c>
      <c r="E7" s="37" t="str">
        <f>VLOOKUP(C7,'2_Prisma'!B:C,2,0)</f>
        <v>https://link.springer.com/article/10.1007/s41060-024-00572-3</v>
      </c>
      <c r="F7" s="3" t="s">
        <v>847</v>
      </c>
    </row>
    <row r="8">
      <c r="A8" s="34">
        <f t="shared" si="1"/>
        <v>5</v>
      </c>
      <c r="B8" s="35">
        <v>2023.0</v>
      </c>
      <c r="C8" s="9" t="s">
        <v>140</v>
      </c>
      <c r="D8" s="36" t="s">
        <v>67</v>
      </c>
      <c r="E8" s="37" t="str">
        <f>VLOOKUP(C8,'2_Prisma'!B:C,2,0)</f>
        <v>https://www.cambridge.org/core/journals/american-political-science-review/article/embedding-regression-models-for-contextspecific-description-and-inference/4C90013E5C714C8483ED95CC699022FB</v>
      </c>
      <c r="F8" s="3" t="s">
        <v>848</v>
      </c>
    </row>
    <row r="9">
      <c r="A9" s="34">
        <f t="shared" si="1"/>
        <v>6</v>
      </c>
      <c r="B9" s="35">
        <v>2023.0</v>
      </c>
      <c r="C9" s="36" t="s">
        <v>151</v>
      </c>
      <c r="D9" s="36" t="s">
        <v>67</v>
      </c>
      <c r="E9" s="37" t="str">
        <f>VLOOKUP(C9,'2_Prisma'!B:C,2,0)</f>
        <v>https://ieeexplore.ieee.org/abstract/document/10217726/</v>
      </c>
      <c r="F9" s="3" t="s">
        <v>849</v>
      </c>
    </row>
    <row r="10">
      <c r="A10" s="34">
        <f t="shared" si="1"/>
        <v>7</v>
      </c>
      <c r="B10" s="35">
        <v>2025.0</v>
      </c>
      <c r="C10" s="36" t="s">
        <v>162</v>
      </c>
      <c r="D10" s="36" t="s">
        <v>67</v>
      </c>
      <c r="E10" s="37" t="str">
        <f>VLOOKUP(C10,'2_Prisma'!B:C,2,0)</f>
        <v>http://iapress.org/index.php/soic/article/view/2524</v>
      </c>
      <c r="F10" s="3" t="s">
        <v>850</v>
      </c>
    </row>
    <row r="11">
      <c r="A11" s="34">
        <f t="shared" si="1"/>
        <v>8</v>
      </c>
      <c r="B11" s="35">
        <v>2025.0</v>
      </c>
      <c r="C11" s="36" t="s">
        <v>237</v>
      </c>
      <c r="D11" s="36" t="s">
        <v>71</v>
      </c>
      <c r="E11" s="37" t="str">
        <f>VLOOKUP(C11,'2_Prisma'!B:C,2,0)</f>
        <v>https://link.springer.com/article/10.1007/s41060-025-00849-1</v>
      </c>
      <c r="F11" s="3" t="s">
        <v>851</v>
      </c>
    </row>
    <row r="12">
      <c r="A12" s="34">
        <f t="shared" si="1"/>
        <v>9</v>
      </c>
      <c r="B12" s="35">
        <v>2025.0</v>
      </c>
      <c r="C12" s="36" t="s">
        <v>84</v>
      </c>
      <c r="D12" s="36" t="s">
        <v>71</v>
      </c>
      <c r="E12" s="37" t="str">
        <f>VLOOKUP(C12,'2_Prisma'!B:C,2,0)</f>
        <v>https://link.springer.com/article/10.1007/s41060-025-00932-7</v>
      </c>
      <c r="F12" s="3" t="s">
        <v>852</v>
      </c>
    </row>
    <row r="13">
      <c r="A13" s="34">
        <f t="shared" si="1"/>
        <v>10</v>
      </c>
      <c r="B13" s="35">
        <v>2023.0</v>
      </c>
      <c r="C13" s="36" t="s">
        <v>206</v>
      </c>
      <c r="D13" s="36" t="s">
        <v>67</v>
      </c>
      <c r="E13" s="37" t="str">
        <f>VLOOKUP(C13,'2_Prisma'!B:C,2,0)</f>
        <v>https://dl.acm.org/doi/abs/10.1145/3533018</v>
      </c>
      <c r="F13" s="3" t="s">
        <v>853</v>
      </c>
    </row>
    <row r="14">
      <c r="A14" s="34">
        <f t="shared" si="1"/>
        <v>11</v>
      </c>
      <c r="B14" s="35">
        <v>2026.0</v>
      </c>
      <c r="C14" s="36" t="s">
        <v>216</v>
      </c>
      <c r="D14" s="36" t="s">
        <v>71</v>
      </c>
      <c r="E14" s="37" t="str">
        <f>VLOOKUP(C14,'2_Prisma'!B:C,2,0)</f>
        <v>https://link.springer.com/article/10.1007/s41060-025-00983-w</v>
      </c>
      <c r="F14" s="3" t="s">
        <v>854</v>
      </c>
    </row>
    <row r="15">
      <c r="A15" s="34">
        <f t="shared" si="1"/>
        <v>12</v>
      </c>
      <c r="B15" s="35">
        <v>2023.0</v>
      </c>
      <c r="C15" s="36" t="s">
        <v>208</v>
      </c>
      <c r="D15" s="36" t="s">
        <v>67</v>
      </c>
      <c r="E15" s="37" t="str">
        <f>VLOOKUP(C15,'2_Prisma'!B:C,2,0)</f>
        <v>https://peerj.com/articles/cs-1225/</v>
      </c>
      <c r="F15" s="3" t="s">
        <v>855</v>
      </c>
    </row>
    <row r="16">
      <c r="A16" s="34">
        <f t="shared" si="1"/>
        <v>13</v>
      </c>
      <c r="B16" s="35">
        <v>2025.0</v>
      </c>
      <c r="C16" s="36" t="s">
        <v>209</v>
      </c>
      <c r="D16" s="36" t="s">
        <v>67</v>
      </c>
      <c r="E16" s="37" t="str">
        <f>VLOOKUP(C16,'2_Prisma'!B:C,2,0)</f>
        <v>https://arxiv.org/abs/2502.14088</v>
      </c>
      <c r="F16" s="3" t="s">
        <v>856</v>
      </c>
    </row>
    <row r="17">
      <c r="A17" s="34">
        <f t="shared" si="1"/>
        <v>14</v>
      </c>
      <c r="B17" s="35">
        <v>2023.0</v>
      </c>
      <c r="C17" s="36" t="s">
        <v>528</v>
      </c>
      <c r="D17" s="36" t="s">
        <v>67</v>
      </c>
      <c r="E17" s="37" t="str">
        <f>VLOOKUP(C17,'2_Prisma'!B:C,2,0)</f>
        <v>https://link.springer.com/chapter/10.1007/978-3-031-28073-3_18</v>
      </c>
      <c r="F17" s="3" t="s">
        <v>857</v>
      </c>
    </row>
    <row r="18">
      <c r="A18" s="34">
        <f t="shared" si="1"/>
        <v>15</v>
      </c>
      <c r="B18" s="35">
        <v>2023.0</v>
      </c>
      <c r="C18" s="36" t="s">
        <v>230</v>
      </c>
      <c r="D18" s="36" t="s">
        <v>67</v>
      </c>
      <c r="E18" s="37" t="str">
        <f>VLOOKUP(C18,'2_Prisma'!B:C,2,0)</f>
        <v>https://onlinelibrary.wiley.com/doi/abs/10.1002/for.2909</v>
      </c>
      <c r="F18" s="3" t="s">
        <v>858</v>
      </c>
    </row>
    <row r="19">
      <c r="A19" s="34">
        <f t="shared" si="1"/>
        <v>16</v>
      </c>
      <c r="B19" s="35">
        <v>2025.0</v>
      </c>
      <c r="C19" s="36" t="s">
        <v>220</v>
      </c>
      <c r="D19" s="36" t="s">
        <v>67</v>
      </c>
      <c r="E19" s="37" t="str">
        <f>VLOOKUP(C19,'2_Prisma'!B:C,2,0)</f>
        <v>https://www.icck.org/article/tetai/193/143</v>
      </c>
      <c r="F19" s="3" t="s">
        <v>859</v>
      </c>
    </row>
    <row r="20">
      <c r="A20" s="34">
        <f t="shared" si="1"/>
        <v>17</v>
      </c>
      <c r="B20" s="35">
        <v>2024.0</v>
      </c>
      <c r="C20" s="36" t="s">
        <v>227</v>
      </c>
      <c r="D20" s="36" t="s">
        <v>67</v>
      </c>
      <c r="E20" s="37" t="str">
        <f>VLOOKUP(C20,'2_Prisma'!B:C,2,0)</f>
        <v>https://ieeexplore.ieee.org/abstract/document/10640097/</v>
      </c>
      <c r="F20" s="3" t="s">
        <v>860</v>
      </c>
    </row>
    <row r="21">
      <c r="A21" s="34">
        <f t="shared" si="1"/>
        <v>18</v>
      </c>
      <c r="B21" s="35">
        <v>2023.0</v>
      </c>
      <c r="C21" s="36" t="s">
        <v>177</v>
      </c>
      <c r="D21" s="36" t="s">
        <v>67</v>
      </c>
      <c r="E21" s="37" t="str">
        <f>VLOOKUP(C21,'2_Prisma'!B:C,2,0)</f>
        <v>https://onlinelibrary.wiley.com/doi/abs/10.1111/exsy.13368</v>
      </c>
      <c r="F21" s="3" t="s">
        <v>861</v>
      </c>
    </row>
    <row r="22">
      <c r="A22" s="34">
        <f t="shared" si="1"/>
        <v>19</v>
      </c>
      <c r="B22" s="35">
        <v>2024.0</v>
      </c>
      <c r="C22" s="36" t="s">
        <v>232</v>
      </c>
      <c r="D22" s="36" t="s">
        <v>67</v>
      </c>
      <c r="E22" s="37" t="str">
        <f>VLOOKUP(C22,'2_Prisma'!B:C,2,0)</f>
        <v>https://www.tandfonline.com/doi/abs/10.1080/07421222.2023.2301176</v>
      </c>
      <c r="F22" s="3" t="s">
        <v>862</v>
      </c>
    </row>
    <row r="23">
      <c r="A23" s="34">
        <f t="shared" si="1"/>
        <v>20</v>
      </c>
      <c r="B23" s="35">
        <v>2024.0</v>
      </c>
      <c r="C23" s="36" t="s">
        <v>213</v>
      </c>
      <c r="D23" s="36" t="s">
        <v>67</v>
      </c>
      <c r="E23" s="37" t="str">
        <f>VLOOKUP(C23,'2_Prisma'!B:C,2,0)</f>
        <v>https://www.tandfonline.com/doi/abs/10.1080/03081079.2023.2294132</v>
      </c>
      <c r="F23" s="3" t="s">
        <v>863</v>
      </c>
    </row>
    <row r="24">
      <c r="A24" s="34">
        <f t="shared" si="1"/>
        <v>21</v>
      </c>
      <c r="B24" s="35">
        <v>2024.0</v>
      </c>
      <c r="C24" s="36" t="s">
        <v>248</v>
      </c>
      <c r="D24" s="36" t="s">
        <v>67</v>
      </c>
      <c r="E24" s="37" t="str">
        <f>VLOOKUP(C24,'2_Prisma'!B:C,2,0)</f>
        <v>https://www.mdpi.com/2076-3417/14/16/7305</v>
      </c>
      <c r="F24" s="3" t="s">
        <v>864</v>
      </c>
    </row>
    <row r="25">
      <c r="A25" s="34">
        <f t="shared" si="1"/>
        <v>22</v>
      </c>
      <c r="B25" s="35">
        <v>2023.0</v>
      </c>
      <c r="C25" s="36" t="s">
        <v>251</v>
      </c>
      <c r="D25" s="36" t="s">
        <v>67</v>
      </c>
      <c r="E25" s="37" t="str">
        <f>VLOOKUP(C25,'2_Prisma'!B:C,2,0)</f>
        <v>https://www.mdpi.com/2227-7390/11/19/4104</v>
      </c>
      <c r="F25" s="3" t="s">
        <v>865</v>
      </c>
    </row>
    <row r="26">
      <c r="A26" s="34">
        <f t="shared" si="1"/>
        <v>23</v>
      </c>
      <c r="B26" s="35">
        <v>2025.0</v>
      </c>
      <c r="C26" s="36" t="s">
        <v>258</v>
      </c>
      <c r="D26" s="36" t="s">
        <v>67</v>
      </c>
      <c r="E26" s="37" t="str">
        <f>VLOOKUP(C26,'2_Prisma'!B:C,2,0)</f>
        <v>https://pmc.ncbi.nlm.nih.gov/articles/PMC12047991/</v>
      </c>
      <c r="F26" s="3" t="s">
        <v>866</v>
      </c>
    </row>
    <row r="27">
      <c r="A27" s="34">
        <f t="shared" si="1"/>
        <v>24</v>
      </c>
      <c r="B27" s="35">
        <v>2025.0</v>
      </c>
      <c r="C27" s="36" t="s">
        <v>264</v>
      </c>
      <c r="D27" s="36" t="s">
        <v>67</v>
      </c>
      <c r="E27" s="37" t="str">
        <f>VLOOKUP(C27,'2_Prisma'!B:C,2,0)</f>
        <v>https://assets.pubpub.org/p41eo02p/119-01746737674155.pdf</v>
      </c>
      <c r="F27" s="3" t="s">
        <v>867</v>
      </c>
    </row>
    <row r="28">
      <c r="A28" s="34">
        <f t="shared" si="1"/>
        <v>25</v>
      </c>
      <c r="B28" s="35">
        <v>2023.0</v>
      </c>
      <c r="C28" s="36" t="s">
        <v>266</v>
      </c>
      <c r="D28" s="36" t="s">
        <v>67</v>
      </c>
      <c r="E28" s="37" t="str">
        <f>VLOOKUP(C28,'2_Prisma'!B:C,2,0)</f>
        <v>http://www.icicel.org/ell/contents/2023/3/el-17-03-01.pdf</v>
      </c>
      <c r="F28" s="3" t="s">
        <v>868</v>
      </c>
    </row>
    <row r="29">
      <c r="A29" s="34">
        <f t="shared" si="1"/>
        <v>26</v>
      </c>
      <c r="B29" s="35">
        <v>2024.0</v>
      </c>
      <c r="C29" s="36" t="s">
        <v>267</v>
      </c>
      <c r="D29" s="36" t="s">
        <v>67</v>
      </c>
      <c r="E29" s="37" t="str">
        <f>VLOOKUP(C29,'2_Prisma'!B:C,2,0)</f>
        <v>https://aclanthology.org/2024.semeval-1.65/</v>
      </c>
      <c r="F29" s="3" t="s">
        <v>869</v>
      </c>
    </row>
  </sheetData>
  <mergeCells count="2">
    <mergeCell ref="A1:D1"/>
    <mergeCell ref="A2:D2"/>
  </mergeCells>
  <drawing r:id="rId1"/>
</worksheet>
</file>